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bpi\OneDrive\Desktop\ASB\PRIVATE\others\PPL\AUCTION\"/>
    </mc:Choice>
  </mc:AlternateContent>
  <xr:revisionPtr revIDLastSave="0" documentId="13_ncr:1_{A89BA08A-BEF9-460B-8DB2-F09AD721EC3E}" xr6:coauthVersionLast="47" xr6:coauthVersionMax="47" xr10:uidLastSave="{00000000-0000-0000-0000-000000000000}"/>
  <bookViews>
    <workbookView xWindow="-118" yWindow="-118" windowWidth="25370" windowHeight="14374" tabRatio="736" activeTab="7" xr2:uid="{00000000-000D-0000-FFFF-FFFF00000000}"/>
  </bookViews>
  <sheets>
    <sheet name="Auction" sheetId="1" r:id="rId1"/>
    <sheet name="Base Price" sheetId="2" r:id="rId2"/>
    <sheet name="Rounds" sheetId="9" r:id="rId3"/>
    <sheet name="All" sheetId="5" r:id="rId4"/>
    <sheet name="Sold" sheetId="3" r:id="rId5"/>
    <sheet name="Unsold" sheetId="4" r:id="rId6"/>
    <sheet name="Teams" sheetId="7" r:id="rId7"/>
    <sheet name="Welcome" sheetId="8" r:id="rId8"/>
  </sheets>
  <definedNames>
    <definedName name="Player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4" i="3" l="1"/>
  <c r="B45" i="3"/>
  <c r="B46" i="3"/>
  <c r="B47" i="3"/>
  <c r="B48" i="3"/>
  <c r="B49" i="3"/>
  <c r="B50" i="3"/>
  <c r="B51" i="3"/>
  <c r="B52" i="3"/>
  <c r="B53" i="3"/>
  <c r="B54" i="3"/>
  <c r="B16" i="7"/>
  <c r="B17" i="7"/>
  <c r="B18" i="7"/>
  <c r="B19" i="7"/>
  <c r="B20" i="7"/>
  <c r="B25" i="2"/>
  <c r="B26" i="2"/>
  <c r="B4" i="3"/>
  <c r="B4" i="5"/>
  <c r="B5" i="3"/>
  <c r="B5" i="5"/>
  <c r="B15" i="2"/>
  <c r="B16" i="2"/>
  <c r="B17" i="2"/>
  <c r="B18" i="2"/>
  <c r="B19" i="2"/>
  <c r="B20" i="2"/>
  <c r="B21" i="2"/>
  <c r="B22" i="2"/>
  <c r="B23" i="2"/>
  <c r="B24" i="2"/>
  <c r="B14" i="2"/>
  <c r="B4" i="4"/>
  <c r="B6" i="5"/>
  <c r="B7" i="5"/>
  <c r="B8" i="5"/>
  <c r="B5" i="4"/>
  <c r="B9" i="5"/>
  <c r="B6" i="4"/>
  <c r="B10" i="5"/>
  <c r="B6" i="3"/>
  <c r="B11" i="5"/>
  <c r="B7" i="4"/>
  <c r="B12" i="5"/>
  <c r="B7" i="3"/>
  <c r="B13" i="5"/>
  <c r="B8" i="3"/>
  <c r="B14" i="5"/>
  <c r="B9" i="3"/>
  <c r="B15" i="5"/>
  <c r="B10" i="3"/>
  <c r="B16" i="5"/>
  <c r="N13" i="7" l="1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B13" i="7"/>
  <c r="B14" i="7"/>
  <c r="B15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7" i="2"/>
  <c r="B8" i="2"/>
  <c r="B9" i="2"/>
  <c r="B10" i="2"/>
  <c r="B11" i="2"/>
  <c r="B12" i="2"/>
  <c r="B13" i="2"/>
  <c r="D7" i="7" l="1"/>
  <c r="D9" i="7" s="1"/>
  <c r="V22" i="9"/>
  <c r="V23" i="9"/>
  <c r="V24" i="9"/>
  <c r="V25" i="9"/>
  <c r="V26" i="9"/>
  <c r="V27" i="9"/>
  <c r="V28" i="9"/>
  <c r="V29" i="9"/>
  <c r="O22" i="9"/>
  <c r="O23" i="9"/>
  <c r="O24" i="9"/>
  <c r="O25" i="9"/>
  <c r="O26" i="9"/>
  <c r="O27" i="9"/>
  <c r="O28" i="9"/>
  <c r="O29" i="9"/>
  <c r="H22" i="9"/>
  <c r="H23" i="9"/>
  <c r="H24" i="9"/>
  <c r="H25" i="9"/>
  <c r="H26" i="9"/>
  <c r="H27" i="9"/>
  <c r="H28" i="9"/>
  <c r="H29" i="9"/>
  <c r="A22" i="9"/>
  <c r="A23" i="9"/>
  <c r="A24" i="9"/>
  <c r="A25" i="9"/>
  <c r="A26" i="9"/>
  <c r="A27" i="9"/>
  <c r="A28" i="9"/>
  <c r="A29" i="9"/>
  <c r="V7" i="9"/>
  <c r="V8" i="9"/>
  <c r="V9" i="9"/>
  <c r="V10" i="9"/>
  <c r="V11" i="9"/>
  <c r="V12" i="9"/>
  <c r="V13" i="9"/>
  <c r="V14" i="9"/>
  <c r="O7" i="9"/>
  <c r="O8" i="9"/>
  <c r="O9" i="9"/>
  <c r="O10" i="9"/>
  <c r="O11" i="9"/>
  <c r="O12" i="9"/>
  <c r="O13" i="9"/>
  <c r="O14" i="9"/>
  <c r="H7" i="9"/>
  <c r="H8" i="9"/>
  <c r="H9" i="9"/>
  <c r="H10" i="9"/>
  <c r="H11" i="9"/>
  <c r="H12" i="9"/>
  <c r="H13" i="9"/>
  <c r="H14" i="9"/>
  <c r="V20" i="9"/>
  <c r="V21" i="9"/>
  <c r="O20" i="9"/>
  <c r="O21" i="9"/>
  <c r="H20" i="9"/>
  <c r="H21" i="9"/>
  <c r="A20" i="9"/>
  <c r="A21" i="9"/>
  <c r="V5" i="9"/>
  <c r="V6" i="9"/>
  <c r="O5" i="9"/>
  <c r="O6" i="9"/>
  <c r="H5" i="9"/>
  <c r="H6" i="9"/>
  <c r="A5" i="9"/>
  <c r="A6" i="9"/>
  <c r="A7" i="9"/>
  <c r="A8" i="9"/>
  <c r="A9" i="9"/>
  <c r="A10" i="9"/>
  <c r="A11" i="9"/>
  <c r="A12" i="9"/>
  <c r="A13" i="9"/>
  <c r="A14" i="9"/>
  <c r="B6" i="2"/>
  <c r="S3" i="7"/>
  <c r="B8" i="4"/>
  <c r="B17" i="5"/>
  <c r="B11" i="3"/>
  <c r="B18" i="5"/>
  <c r="B12" i="3"/>
  <c r="B19" i="5"/>
  <c r="B13" i="3"/>
  <c r="B20" i="5"/>
  <c r="B14" i="3"/>
  <c r="B21" i="5"/>
  <c r="B15" i="3"/>
  <c r="B22" i="5"/>
  <c r="B16" i="3"/>
  <c r="B23" i="5"/>
  <c r="B17" i="3"/>
  <c r="B24" i="5"/>
  <c r="B18" i="3"/>
  <c r="B25" i="5"/>
  <c r="B19" i="3"/>
  <c r="B26" i="5"/>
  <c r="B20" i="3"/>
  <c r="B27" i="5"/>
  <c r="B21" i="3"/>
  <c r="B28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22" i="3"/>
  <c r="B29" i="5"/>
  <c r="B9" i="4"/>
  <c r="B10" i="4"/>
  <c r="B23" i="3"/>
  <c r="B11" i="4"/>
  <c r="B24" i="3"/>
  <c r="B25" i="3"/>
  <c r="B26" i="3"/>
  <c r="B27" i="3"/>
  <c r="B28" i="3"/>
  <c r="B29" i="3"/>
  <c r="B30" i="3"/>
  <c r="B12" i="4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3" i="3"/>
  <c r="P7" i="7"/>
  <c r="P9" i="7" s="1"/>
  <c r="L7" i="7"/>
  <c r="L9" i="7" s="1"/>
  <c r="H7" i="7"/>
  <c r="H9" i="7" s="1"/>
  <c r="B30" i="5"/>
  <c r="B13" i="4"/>
  <c r="B14" i="4"/>
  <c r="B31" i="5"/>
  <c r="B32" i="5"/>
  <c r="B33" i="5"/>
  <c r="B15" i="4"/>
  <c r="B34" i="5"/>
  <c r="B35" i="5"/>
  <c r="B36" i="5"/>
  <c r="B16" i="4"/>
  <c r="B37" i="5"/>
  <c r="B17" i="4"/>
  <c r="B38" i="5"/>
  <c r="B39" i="5"/>
  <c r="B40" i="5"/>
  <c r="B41" i="5"/>
  <c r="B42" i="5"/>
  <c r="B43" i="5"/>
  <c r="B3" i="4"/>
  <c r="B18" i="4"/>
  <c r="B3" i="5"/>
  <c r="B44" i="5"/>
  <c r="J2" i="2"/>
  <c r="J3" i="1"/>
  <c r="B1" i="4" s="1"/>
  <c r="C1" i="7" l="1"/>
  <c r="K5" i="2"/>
  <c r="L5" i="2"/>
  <c r="N5" i="2"/>
  <c r="M5" i="2"/>
  <c r="J5" i="2"/>
</calcChain>
</file>

<file path=xl/sharedStrings.xml><?xml version="1.0" encoding="utf-8"?>
<sst xmlns="http://schemas.openxmlformats.org/spreadsheetml/2006/main" count="325" uniqueCount="103">
  <si>
    <t>Sl No</t>
  </si>
  <si>
    <t>Group</t>
  </si>
  <si>
    <t>Name</t>
  </si>
  <si>
    <t>Batting Hand</t>
  </si>
  <si>
    <t>Bowling Style</t>
  </si>
  <si>
    <t>Base Value</t>
  </si>
  <si>
    <t>SOLD</t>
  </si>
  <si>
    <t>UNSOLD</t>
  </si>
  <si>
    <t>TEAMS</t>
  </si>
  <si>
    <t>T-1</t>
  </si>
  <si>
    <t>T-2</t>
  </si>
  <si>
    <t>T-3</t>
  </si>
  <si>
    <t>T-4</t>
  </si>
  <si>
    <t>INCREMENTS</t>
  </si>
  <si>
    <t>Count_down</t>
  </si>
  <si>
    <t>Remaining Players</t>
  </si>
  <si>
    <t>Random Player</t>
  </si>
  <si>
    <t>time value</t>
  </si>
  <si>
    <t>Action Price</t>
  </si>
  <si>
    <t>Sold</t>
  </si>
  <si>
    <t>Team</t>
  </si>
  <si>
    <t>PETAPADA TIGERS</t>
  </si>
  <si>
    <t>PETAPADA AVENGERS</t>
  </si>
  <si>
    <t>PETAPADA LIONS</t>
  </si>
  <si>
    <t>PETAPADA WARRIORS</t>
  </si>
  <si>
    <t>SL NO</t>
  </si>
  <si>
    <t>NAME</t>
  </si>
  <si>
    <t>VALUE</t>
  </si>
  <si>
    <t>TOTAL</t>
  </si>
  <si>
    <t>SPEND</t>
  </si>
  <si>
    <t>AVAILABLE</t>
  </si>
  <si>
    <t>TOTAL  SOLD</t>
  </si>
  <si>
    <t>NIGAM KHILAR</t>
  </si>
  <si>
    <t>SUBHAM KHILAR</t>
  </si>
  <si>
    <t>DILIP NAYAK</t>
  </si>
  <si>
    <t>SUBHAS MALIK</t>
  </si>
  <si>
    <t>OWNER</t>
  </si>
  <si>
    <t>indication</t>
  </si>
  <si>
    <t>RAKESH DAS (ICON)</t>
  </si>
  <si>
    <t>Krushnakanta Das (RETAINED)</t>
  </si>
  <si>
    <t>RAKESH DAS (KANHU) (ICON)</t>
  </si>
  <si>
    <t>ASHRIBAD DAS (ICOM)</t>
  </si>
  <si>
    <t>Sourav Khilar (RETAINED)</t>
  </si>
  <si>
    <t>SATYAJIT BEHERA (ICON)</t>
  </si>
  <si>
    <t>Rajesh malik (RETAINED)</t>
  </si>
  <si>
    <t>PLAYER</t>
  </si>
  <si>
    <t>C</t>
  </si>
  <si>
    <t>Aman Das(Guga)</t>
  </si>
  <si>
    <t>RHB</t>
  </si>
  <si>
    <t>B</t>
  </si>
  <si>
    <t>Arabinda Das</t>
  </si>
  <si>
    <t>Right-arm medium</t>
  </si>
  <si>
    <t>A</t>
  </si>
  <si>
    <t>Bana Jena</t>
  </si>
  <si>
    <t>Right-arm fast</t>
  </si>
  <si>
    <t>Bhola Das</t>
  </si>
  <si>
    <t>Bishal Das(chota)</t>
  </si>
  <si>
    <t>Bishal Khillar</t>
  </si>
  <si>
    <t>Chinmay Das</t>
  </si>
  <si>
    <t>Dipu Malik</t>
  </si>
  <si>
    <t>Gadadhar Malik</t>
  </si>
  <si>
    <t>Gudu Malik</t>
  </si>
  <si>
    <t>Jayi Jena</t>
  </si>
  <si>
    <t>Jitendra Das</t>
  </si>
  <si>
    <t>Kamal Khilar</t>
  </si>
  <si>
    <t>Krishna Barik</t>
  </si>
  <si>
    <t>Manash Malik</t>
  </si>
  <si>
    <t>Mihir Malik</t>
  </si>
  <si>
    <t>Muna Das</t>
  </si>
  <si>
    <t>Nitin Das</t>
  </si>
  <si>
    <t>Omm Khillar</t>
  </si>
  <si>
    <t>Piyush Khilar</t>
  </si>
  <si>
    <t>Prabhu Dayal Khilar</t>
  </si>
  <si>
    <t>Prakash Malik</t>
  </si>
  <si>
    <t>Prashad Das</t>
  </si>
  <si>
    <t>Priyabrata Das</t>
  </si>
  <si>
    <t>Sambit Das</t>
  </si>
  <si>
    <t>Sangram Das</t>
  </si>
  <si>
    <t>Satya Prakash Das</t>
  </si>
  <si>
    <t>Satyam Das</t>
  </si>
  <si>
    <t>Shuvam Khilar (Debun)</t>
  </si>
  <si>
    <t>Sibua Dash</t>
  </si>
  <si>
    <t>Somesh Das(biki)</t>
  </si>
  <si>
    <t>Somya Ranjan Das</t>
  </si>
  <si>
    <t>Sourav  Das(gudu)</t>
  </si>
  <si>
    <t>Subha Das</t>
  </si>
  <si>
    <t>Subha Jena</t>
  </si>
  <si>
    <t>Suresh Das</t>
  </si>
  <si>
    <t>Swagat Das (w)</t>
  </si>
  <si>
    <t>Tanmay Das</t>
  </si>
  <si>
    <t>Tita Das</t>
  </si>
  <si>
    <t>Bishal Das (RETAINED)</t>
  </si>
  <si>
    <t>Boss Malik</t>
  </si>
  <si>
    <t>Sabyasachi Khilar</t>
  </si>
  <si>
    <t>Sourav Das</t>
  </si>
  <si>
    <t>Sibua Das</t>
  </si>
  <si>
    <t>Somesh Das</t>
  </si>
  <si>
    <t>Aman Das (Guga)</t>
  </si>
  <si>
    <t>Manas Malik</t>
  </si>
  <si>
    <t>Soumya Ranjan Das</t>
  </si>
  <si>
    <t>Bishal Khilar</t>
  </si>
  <si>
    <t>Omm Khilar</t>
  </si>
  <si>
    <t>UN_SOLD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</si>
</sst>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:ss"/>
    <numFmt numFmtId="165" formatCode="ss"/>
  </numFmts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8"/>
      <color theme="2" tint="-0.249977111117893"/>
      <name val="Calibri"/>
      <family val="2"/>
      <scheme val="minor"/>
    </font>
    <font>
      <b/>
      <sz val="18"/>
      <color theme="1"/>
      <name val="Arial Black"/>
      <family val="2"/>
    </font>
    <font>
      <b/>
      <sz val="72"/>
      <color theme="1"/>
      <name val="Times New Roman"/>
      <family val="1"/>
    </font>
    <font>
      <sz val="72"/>
      <color theme="1"/>
      <name val="Algerian"/>
      <family val="5"/>
    </font>
    <font>
      <b/>
      <i/>
      <sz val="18"/>
      <color theme="2" tint="-0.749992370372631"/>
      <name val="Calibri"/>
      <family val="2"/>
      <scheme val="minor"/>
    </font>
    <font>
      <sz val="36"/>
      <color theme="1"/>
      <name val="Berlin Sans FB Demi"/>
      <family val="2"/>
    </font>
    <font>
      <sz val="48"/>
      <color theme="1"/>
      <name val="Bernard MT Condensed"/>
      <family val="1"/>
    </font>
    <font>
      <sz val="78"/>
      <name val="Arial Black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Arial Black"/>
      <family val="2"/>
    </font>
    <font>
      <sz val="48"/>
      <color theme="1"/>
      <name val="Algerian"/>
      <family val="5"/>
    </font>
    <font>
      <i/>
      <sz val="11"/>
      <color theme="1"/>
      <name val="Arial"/>
      <family val="2"/>
    </font>
    <font>
      <b/>
      <sz val="14"/>
      <color theme="1"/>
      <name val="Arial Black"/>
      <family val="2"/>
    </font>
    <font>
      <b/>
      <sz val="18"/>
      <color theme="0"/>
      <name val="Constantia"/>
      <family val="1"/>
    </font>
    <font>
      <sz val="18"/>
      <color theme="1"/>
      <name val="Constantia"/>
      <family val="1"/>
    </font>
    <font>
      <i/>
      <sz val="36"/>
      <color theme="1"/>
      <name val="Algerian"/>
      <family val="5"/>
    </font>
    <font>
      <sz val="36"/>
      <color theme="1"/>
      <name val="Algerian"/>
      <family val="5"/>
    </font>
    <font>
      <sz val="24"/>
      <color theme="1"/>
      <name val="Algerian"/>
      <family val="5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24"/>
      <color rgb="FFFF0000"/>
      <name val="Algerian"/>
      <family val="5"/>
    </font>
    <font>
      <sz val="36"/>
      <color rgb="FFFF0000"/>
      <name val="Algerian"/>
      <family val="5"/>
    </font>
    <font>
      <sz val="36"/>
      <color theme="1"/>
      <name val="Calibri"/>
      <family val="2"/>
      <scheme val="minor"/>
    </font>
    <font>
      <b/>
      <sz val="36"/>
      <color theme="2" tint="-0.249977111117893"/>
      <name val="Calibri"/>
      <family val="2"/>
      <scheme val="minor"/>
    </font>
    <font>
      <sz val="36"/>
      <color rgb="FFC00000"/>
      <name val="Rockwell Extra Bold"/>
      <family val="1"/>
    </font>
    <font>
      <b/>
      <sz val="14"/>
      <color rgb="FF000000"/>
      <name val="Calibri"/>
      <family val="2"/>
      <scheme val="minor"/>
    </font>
    <font>
      <sz val="72"/>
      <color rgb="FF000000"/>
      <name val="Algerian"/>
      <family val="5"/>
    </font>
    <font>
      <b/>
      <sz val="11"/>
      <color theme="5" tint="0.59999389629810485"/>
      <name val="Calibri"/>
      <family val="2"/>
      <scheme val="minor"/>
    </font>
    <font>
      <sz val="11"/>
      <color rgb="FFC0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FF"/>
        <bgColor indexed="64"/>
      </patternFill>
    </fill>
    <fill>
      <gradientFill degree="45">
        <stop position="0">
          <color theme="1" tint="0.34900967436750391"/>
        </stop>
        <stop position="1">
          <color rgb="FFCCFFFF"/>
        </stop>
      </gradientFill>
    </fill>
    <fill>
      <gradientFill degree="90">
        <stop position="0">
          <color theme="0"/>
        </stop>
        <stop position="0.5">
          <color rgb="FF66FFFF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  <fill>
      <gradientFill type="path" left="0.5" right="0.5" top="0.5" bottom="0.5">
        <stop position="0">
          <color theme="0"/>
        </stop>
        <stop position="1">
          <color rgb="FF00B0F0"/>
        </stop>
      </gradientFill>
    </fill>
    <fill>
      <gradientFill degree="90">
        <stop position="0">
          <color theme="0"/>
        </stop>
        <stop position="1">
          <color rgb="FF00B0F0"/>
        </stop>
      </gradientFill>
    </fill>
    <fill>
      <gradientFill degree="270">
        <stop position="0">
          <color theme="0"/>
        </stop>
        <stop position="1">
          <color rgb="FF66FFFF"/>
        </stop>
      </gradientFill>
    </fill>
    <fill>
      <gradientFill degree="270">
        <stop position="0">
          <color theme="0"/>
        </stop>
        <stop position="1">
          <color rgb="FF002060"/>
        </stop>
      </gradientFill>
    </fill>
    <fill>
      <gradientFill degree="270">
        <stop position="0">
          <color theme="0"/>
        </stop>
        <stop position="1">
          <color rgb="FF7030A0"/>
        </stop>
      </gradientFill>
    </fill>
    <fill>
      <gradientFill type="path" left="0.5" right="0.5" top="0.5" bottom="0.5">
        <stop position="0">
          <color theme="0"/>
        </stop>
        <stop position="1">
          <color rgb="FF993366"/>
        </stop>
      </gradient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3366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0.5">
          <color theme="0"/>
        </stop>
        <stop position="1">
          <color theme="7" tint="0.59999389629810485"/>
        </stop>
      </gradient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8" tint="0.40000610370189521"/>
        </stop>
      </gradientFill>
    </fill>
    <fill>
      <gradientFill type="path" left="0.5" right="0.5" top="0.5" bottom="0.5">
        <stop position="0">
          <color theme="0"/>
        </stop>
        <stop position="1">
          <color theme="8" tint="0.59999389629810485"/>
        </stop>
      </gradient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gradientFill degree="180">
        <stop position="0">
          <color theme="0"/>
        </stop>
        <stop position="1">
          <color rgb="FF993366"/>
        </stop>
      </gradientFill>
    </fill>
    <fill>
      <gradientFill degree="135">
        <stop position="0">
          <color theme="0"/>
        </stop>
        <stop position="1">
          <color rgb="FF993366"/>
        </stop>
      </gradientFill>
    </fill>
    <fill>
      <gradientFill degree="270">
        <stop position="0">
          <color theme="0"/>
        </stop>
        <stop position="1">
          <color rgb="FF993366"/>
        </stop>
      </gradientFill>
    </fill>
    <fill>
      <gradientFill>
        <stop position="0">
          <color theme="0"/>
        </stop>
        <stop position="1">
          <color rgb="FF993366"/>
        </stop>
      </gradientFill>
    </fill>
    <fill>
      <gradientFill degree="225">
        <stop position="0">
          <color theme="0"/>
        </stop>
        <stop position="1">
          <color rgb="FF993366"/>
        </stop>
      </gradientFill>
    </fill>
    <fill>
      <gradientFill degree="315">
        <stop position="0">
          <color theme="0"/>
        </stop>
        <stop position="1">
          <color rgb="FF993366"/>
        </stop>
      </gradientFill>
    </fill>
    <fill>
      <gradientFill degree="90">
        <stop position="0">
          <color theme="0"/>
        </stop>
        <stop position="1">
          <color rgb="FF993366"/>
        </stop>
      </gradientFill>
    </fill>
    <fill>
      <gradientFill degree="45">
        <stop position="0">
          <color theme="0"/>
        </stop>
        <stop position="1">
          <color rgb="FF993366"/>
        </stop>
      </gradient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/>
      <top/>
      <bottom/>
      <diagonal/>
    </border>
    <border>
      <left/>
      <right style="medium">
        <color theme="4" tint="0.59999389629810485"/>
      </right>
      <top/>
      <bottom/>
      <diagonal/>
    </border>
    <border>
      <left style="medium">
        <color theme="4" tint="0.59999389629810485"/>
      </left>
      <right/>
      <top/>
      <bottom style="medium">
        <color theme="4" tint="0.59999389629810485"/>
      </bottom>
      <diagonal/>
    </border>
    <border>
      <left/>
      <right/>
      <top/>
      <bottom style="medium">
        <color theme="4" tint="0.59999389629810485"/>
      </bottom>
      <diagonal/>
    </border>
    <border>
      <left/>
      <right style="medium">
        <color theme="4" tint="0.59999389629810485"/>
      </right>
      <top/>
      <bottom style="medium">
        <color theme="4" tint="0.59999389629810485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0" xfId="0" applyFill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0" xfId="0" applyFill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8" fillId="5" borderId="0" xfId="0" applyFont="1" applyFill="1" applyAlignment="1">
      <alignment vertical="center"/>
    </xf>
    <xf numFmtId="0" fontId="0" fillId="11" borderId="14" xfId="0" applyFill="1" applyBorder="1"/>
    <xf numFmtId="0" fontId="0" fillId="11" borderId="0" xfId="0" applyFill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6" borderId="0" xfId="0" applyFill="1"/>
    <xf numFmtId="0" fontId="1" fillId="17" borderId="0" xfId="0" applyFont="1" applyFill="1"/>
    <xf numFmtId="0" fontId="12" fillId="4" borderId="0" xfId="0" applyFont="1" applyFill="1" applyAlignment="1">
      <alignment vertical="center"/>
    </xf>
    <xf numFmtId="45" fontId="0" fillId="0" borderId="0" xfId="0" applyNumberFormat="1" applyAlignment="1">
      <alignment horizontal="center" vertical="center"/>
    </xf>
    <xf numFmtId="45" fontId="17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6" fillId="15" borderId="20" xfId="0" applyFont="1" applyFill="1" applyBorder="1" applyAlignment="1">
      <alignment horizontal="center" vertical="center"/>
    </xf>
    <xf numFmtId="0" fontId="16" fillId="15" borderId="19" xfId="0" applyFont="1" applyFill="1" applyBorder="1" applyAlignment="1">
      <alignment horizontal="center" vertical="center"/>
    </xf>
    <xf numFmtId="0" fontId="16" fillId="15" borderId="21" xfId="0" applyFont="1" applyFill="1" applyBorder="1" applyAlignment="1">
      <alignment horizontal="center" vertical="center"/>
    </xf>
    <xf numFmtId="0" fontId="16" fillId="18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0" borderId="0" xfId="0" applyFill="1"/>
    <xf numFmtId="0" fontId="0" fillId="20" borderId="0" xfId="0" applyFill="1" applyAlignment="1">
      <alignment vertical="center"/>
    </xf>
    <xf numFmtId="0" fontId="0" fillId="20" borderId="0" xfId="0" applyFill="1" applyAlignment="1">
      <alignment horizontal="center" vertical="center"/>
    </xf>
    <xf numFmtId="0" fontId="23" fillId="20" borderId="0" xfId="0" applyFont="1" applyFill="1"/>
    <xf numFmtId="0" fontId="0" fillId="0" borderId="0" xfId="0" applyAlignment="1">
      <alignment vertical="center"/>
    </xf>
    <xf numFmtId="0" fontId="1" fillId="23" borderId="0" xfId="0" applyFont="1" applyFill="1" applyAlignment="1">
      <alignment horizontal="center" vertical="center"/>
    </xf>
    <xf numFmtId="45" fontId="0" fillId="20" borderId="0" xfId="0" applyNumberFormat="1" applyFill="1"/>
    <xf numFmtId="164" fontId="26" fillId="0" borderId="0" xfId="0" applyNumberFormat="1" applyFont="1" applyAlignment="1">
      <alignment vertical="center"/>
    </xf>
    <xf numFmtId="0" fontId="28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45" fontId="32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" fillId="27" borderId="0" xfId="0" applyFont="1" applyFill="1" applyAlignment="1">
      <alignment horizontal="left" vertical="center"/>
    </xf>
    <xf numFmtId="0" fontId="1" fillId="27" borderId="0" xfId="0" applyFont="1" applyFill="1"/>
    <xf numFmtId="0" fontId="0" fillId="27" borderId="0" xfId="0" applyFill="1" applyAlignment="1">
      <alignment horizontal="center" vertical="center"/>
    </xf>
    <xf numFmtId="0" fontId="0" fillId="27" borderId="0" xfId="0" applyFill="1"/>
    <xf numFmtId="0" fontId="0" fillId="27" borderId="9" xfId="0" applyFill="1" applyBorder="1" applyAlignment="1">
      <alignment horizontal="center" vertical="center"/>
    </xf>
    <xf numFmtId="0" fontId="0" fillId="27" borderId="9" xfId="0" applyFill="1" applyBorder="1" applyAlignment="1">
      <alignment horizontal="left" vertical="center"/>
    </xf>
    <xf numFmtId="0" fontId="0" fillId="27" borderId="9" xfId="0" applyFill="1" applyBorder="1"/>
    <xf numFmtId="0" fontId="38" fillId="0" borderId="22" xfId="0" applyFont="1" applyBorder="1" applyAlignment="1">
      <alignment horizontal="center" vertical="center"/>
    </xf>
    <xf numFmtId="0" fontId="40" fillId="27" borderId="0" xfId="0" applyFont="1" applyFill="1" applyAlignment="1">
      <alignment horizontal="center" vertical="center"/>
    </xf>
    <xf numFmtId="0" fontId="41" fillId="20" borderId="0" xfId="0" applyFont="1" applyFill="1"/>
    <xf numFmtId="0" fontId="0" fillId="28" borderId="0" xfId="0" applyFill="1"/>
    <xf numFmtId="0" fontId="0" fillId="29" borderId="0" xfId="0" applyFill="1"/>
    <xf numFmtId="0" fontId="0" fillId="32" borderId="0" xfId="0" applyFill="1"/>
    <xf numFmtId="0" fontId="41" fillId="37" borderId="0" xfId="0" applyFont="1" applyFill="1"/>
    <xf numFmtId="0" fontId="0" fillId="37" borderId="0" xfId="0" applyFill="1"/>
    <xf numFmtId="0" fontId="28" fillId="0" borderId="2" xfId="0" applyFont="1" applyBorder="1" applyAlignment="1">
      <alignment horizontal="center" vertical="center"/>
    </xf>
    <xf numFmtId="0" fontId="2" fillId="11" borderId="11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/>
    </xf>
    <xf numFmtId="0" fontId="2" fillId="11" borderId="14" xfId="0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9" fillId="0" borderId="22" xfId="0" applyFont="1" applyBorder="1" applyAlignment="1">
      <alignment horizontal="left"/>
    </xf>
    <xf numFmtId="0" fontId="29" fillId="0" borderId="22" xfId="0" applyFont="1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3" fillId="14" borderId="0" xfId="0" applyFont="1" applyFill="1" applyAlignment="1">
      <alignment horizontal="center" vertical="center" wrapText="1"/>
    </xf>
    <xf numFmtId="0" fontId="14" fillId="14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165" fontId="39" fillId="5" borderId="0" xfId="0" applyNumberFormat="1" applyFont="1" applyFill="1" applyAlignment="1">
      <alignment horizontal="center" vertical="center" wrapText="1"/>
    </xf>
    <xf numFmtId="45" fontId="19" fillId="5" borderId="0" xfId="0" applyNumberFormat="1" applyFont="1" applyFill="1" applyAlignment="1">
      <alignment horizontal="center" vertical="center" wrapText="1"/>
    </xf>
    <xf numFmtId="45" fontId="19" fillId="5" borderId="7" xfId="0" applyNumberFormat="1" applyFont="1" applyFill="1" applyBorder="1" applyAlignment="1">
      <alignment horizontal="center" vertical="center" wrapText="1"/>
    </xf>
    <xf numFmtId="0" fontId="18" fillId="10" borderId="3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9" fillId="10" borderId="5" xfId="0" applyFont="1" applyFill="1" applyBorder="1" applyAlignment="1">
      <alignment horizontal="center" vertical="center"/>
    </xf>
    <xf numFmtId="0" fontId="9" fillId="10" borderId="6" xfId="0" applyFont="1" applyFill="1" applyBorder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10" borderId="7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/>
    </xf>
    <xf numFmtId="0" fontId="9" fillId="10" borderId="10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0" fontId="15" fillId="9" borderId="5" xfId="0" applyFont="1" applyFill="1" applyBorder="1" applyAlignment="1">
      <alignment horizontal="center" vertical="center"/>
    </xf>
    <xf numFmtId="0" fontId="15" fillId="9" borderId="6" xfId="0" applyFont="1" applyFill="1" applyBorder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0" fontId="15" fillId="9" borderId="7" xfId="0" applyFont="1" applyFill="1" applyBorder="1" applyAlignment="1">
      <alignment horizontal="center" vertical="center"/>
    </xf>
    <xf numFmtId="0" fontId="15" fillId="9" borderId="8" xfId="0" applyFont="1" applyFill="1" applyBorder="1" applyAlignment="1">
      <alignment horizontal="center" vertical="center"/>
    </xf>
    <xf numFmtId="0" fontId="15" fillId="9" borderId="9" xfId="0" applyFont="1" applyFill="1" applyBorder="1" applyAlignment="1">
      <alignment horizontal="center" vertical="center"/>
    </xf>
    <xf numFmtId="0" fontId="15" fillId="9" borderId="10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5" fillId="12" borderId="11" xfId="0" applyFont="1" applyFill="1" applyBorder="1" applyAlignment="1">
      <alignment horizontal="center" vertical="center"/>
    </xf>
    <xf numFmtId="0" fontId="5" fillId="12" borderId="12" xfId="0" applyFont="1" applyFill="1" applyBorder="1" applyAlignment="1">
      <alignment horizontal="center" vertical="center"/>
    </xf>
    <xf numFmtId="0" fontId="5" fillId="12" borderId="13" xfId="0" applyFont="1" applyFill="1" applyBorder="1" applyAlignment="1">
      <alignment horizontal="center" vertical="center"/>
    </xf>
    <xf numFmtId="0" fontId="5" fillId="12" borderId="16" xfId="0" applyFont="1" applyFill="1" applyBorder="1" applyAlignment="1">
      <alignment horizontal="center" vertical="center"/>
    </xf>
    <xf numFmtId="0" fontId="5" fillId="12" borderId="17" xfId="0" applyFont="1" applyFill="1" applyBorder="1" applyAlignment="1">
      <alignment horizontal="center" vertical="center"/>
    </xf>
    <xf numFmtId="0" fontId="5" fillId="12" borderId="18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0" fillId="7" borderId="7" xfId="0" applyFont="1" applyFill="1" applyBorder="1" applyAlignment="1">
      <alignment horizontal="center" vertical="center" wrapText="1"/>
    </xf>
    <xf numFmtId="0" fontId="11" fillId="6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37" fillId="11" borderId="4" xfId="0" applyFont="1" applyFill="1" applyBorder="1" applyAlignment="1">
      <alignment horizontal="center" vertical="center"/>
    </xf>
    <xf numFmtId="0" fontId="37" fillId="11" borderId="0" xfId="0" applyFont="1" applyFill="1" applyAlignment="1">
      <alignment horizontal="center" vertical="center"/>
    </xf>
    <xf numFmtId="0" fontId="36" fillId="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1" fillId="17" borderId="0" xfId="0" applyFont="1" applyFill="1" applyAlignment="1">
      <alignment horizontal="center"/>
    </xf>
    <xf numFmtId="0" fontId="35" fillId="0" borderId="0" xfId="0" applyFont="1" applyAlignment="1">
      <alignment horizontal="center" vertical="center"/>
    </xf>
    <xf numFmtId="164" fontId="33" fillId="26" borderId="0" xfId="0" applyNumberFormat="1" applyFont="1" applyFill="1" applyAlignment="1">
      <alignment horizontal="center" vertical="center"/>
    </xf>
    <xf numFmtId="164" fontId="26" fillId="26" borderId="0" xfId="0" applyNumberFormat="1" applyFont="1" applyFill="1" applyAlignment="1">
      <alignment horizontal="center" vertical="center"/>
    </xf>
    <xf numFmtId="0" fontId="22" fillId="19" borderId="0" xfId="0" applyFont="1" applyFill="1" applyAlignment="1">
      <alignment horizontal="center" vertical="center"/>
    </xf>
    <xf numFmtId="0" fontId="20" fillId="22" borderId="0" xfId="0" applyFont="1" applyFill="1" applyAlignment="1">
      <alignment horizontal="center" vertical="center"/>
    </xf>
    <xf numFmtId="0" fontId="21" fillId="21" borderId="0" xfId="0" applyFont="1" applyFill="1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164" fontId="34" fillId="25" borderId="0" xfId="0" applyNumberFormat="1" applyFont="1" applyFill="1" applyAlignment="1">
      <alignment horizontal="center" vertical="center"/>
    </xf>
    <xf numFmtId="164" fontId="25" fillId="25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31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0" fillId="30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35" borderId="0" xfId="0" applyFill="1" applyAlignment="1">
      <alignment horizontal="center"/>
    </xf>
  </cellXfs>
  <cellStyles count="1">
    <cellStyle name="Normal" xfId="0" builtinId="0"/>
  </cellStyles>
  <dxfs count="122"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auto="1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3366"/>
      <color rgb="FF66FFFF"/>
      <color rgb="FFFF7C80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53340</xdr:colOff>
      <xdr:row>11</xdr:row>
      <xdr:rowOff>68580</xdr:rowOff>
    </xdr:from>
    <xdr:to>
      <xdr:col>21</xdr:col>
      <xdr:colOff>556260</xdr:colOff>
      <xdr:row>13</xdr:row>
      <xdr:rowOff>114300</xdr:rowOff>
    </xdr:to>
    <xdr:sp macro="[0]!sol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CCA301D-1E42-C454-CE82-B4CA5C6731F6}"/>
            </a:ext>
          </a:extLst>
        </xdr:cNvPr>
        <xdr:cNvSpPr/>
      </xdr:nvSpPr>
      <xdr:spPr>
        <a:xfrm>
          <a:off x="9949815" y="2202180"/>
          <a:ext cx="1722120" cy="407670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noFill/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SOLD</a:t>
          </a:r>
        </a:p>
      </xdr:txBody>
    </xdr:sp>
    <xdr:clientData/>
  </xdr:twoCellAnchor>
  <xdr:twoCellAnchor>
    <xdr:from>
      <xdr:col>23</xdr:col>
      <xdr:colOff>53340</xdr:colOff>
      <xdr:row>11</xdr:row>
      <xdr:rowOff>68580</xdr:rowOff>
    </xdr:from>
    <xdr:to>
      <xdr:col>25</xdr:col>
      <xdr:colOff>556260</xdr:colOff>
      <xdr:row>13</xdr:row>
      <xdr:rowOff>114300</xdr:rowOff>
    </xdr:to>
    <xdr:sp macro="[0]!unsol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8F1118B-E4CD-4DDD-AAD1-B58E9596AD09}"/>
            </a:ext>
          </a:extLst>
        </xdr:cNvPr>
        <xdr:cNvSpPr/>
      </xdr:nvSpPr>
      <xdr:spPr>
        <a:xfrm>
          <a:off x="12207240" y="2202180"/>
          <a:ext cx="1722120" cy="407670"/>
        </a:xfrm>
        <a:prstGeom prst="roundRect">
          <a:avLst>
            <a:gd name="adj" fmla="val 50000"/>
          </a:avLst>
        </a:prstGeom>
        <a:solidFill>
          <a:srgbClr val="C00000"/>
        </a:solidFill>
        <a:ln>
          <a:noFill/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UNSOLD</a:t>
          </a:r>
        </a:p>
      </xdr:txBody>
    </xdr:sp>
    <xdr:clientData/>
  </xdr:twoCellAnchor>
  <xdr:twoCellAnchor>
    <xdr:from>
      <xdr:col>20</xdr:col>
      <xdr:colOff>66675</xdr:colOff>
      <xdr:row>36</xdr:row>
      <xdr:rowOff>57150</xdr:rowOff>
    </xdr:from>
    <xdr:to>
      <xdr:col>22</xdr:col>
      <xdr:colOff>390525</xdr:colOff>
      <xdr:row>39</xdr:row>
      <xdr:rowOff>38100</xdr:rowOff>
    </xdr:to>
    <xdr:sp macro="" textlink="">
      <xdr:nvSpPr>
        <xdr:cNvPr id="4" name="Rectangle: Diagonal Corners Rounded 3">
          <a:extLst>
            <a:ext uri="{FF2B5EF4-FFF2-40B4-BE49-F238E27FC236}">
              <a16:creationId xmlns:a16="http://schemas.microsoft.com/office/drawing/2014/main" id="{10DCD64E-6C4C-337E-A27D-477C538AAAE6}"/>
            </a:ext>
          </a:extLst>
        </xdr:cNvPr>
        <xdr:cNvSpPr/>
      </xdr:nvSpPr>
      <xdr:spPr>
        <a:xfrm>
          <a:off x="10571389" y="6915150"/>
          <a:ext cx="1543050" cy="547007"/>
        </a:xfrm>
        <a:prstGeom prst="round2DiagRect">
          <a:avLst>
            <a:gd name="adj1" fmla="val 20647"/>
            <a:gd name="adj2" fmla="val 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CLEAR PREVIOUS</a:t>
          </a:r>
        </a:p>
      </xdr:txBody>
    </xdr:sp>
    <xdr:clientData/>
  </xdr:twoCellAnchor>
  <xdr:twoCellAnchor>
    <xdr:from>
      <xdr:col>14</xdr:col>
      <xdr:colOff>38100</xdr:colOff>
      <xdr:row>35</xdr:row>
      <xdr:rowOff>38100</xdr:rowOff>
    </xdr:from>
    <xdr:to>
      <xdr:col>18</xdr:col>
      <xdr:colOff>190500</xdr:colOff>
      <xdr:row>38</xdr:row>
      <xdr:rowOff>152400</xdr:rowOff>
    </xdr:to>
    <xdr:sp macro="[0]!PW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EA25F5A-9508-4F4F-9DE8-20885F36380B}"/>
            </a:ext>
          </a:extLst>
        </xdr:cNvPr>
        <xdr:cNvSpPr/>
      </xdr:nvSpPr>
      <xdr:spPr>
        <a:xfrm>
          <a:off x="7334250" y="6572250"/>
          <a:ext cx="2524125" cy="657225"/>
        </a:xfrm>
        <a:prstGeom prst="roundRect">
          <a:avLst>
            <a:gd name="adj" fmla="val 50000"/>
          </a:avLst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Algerian" panose="04020705040A02060702" pitchFamily="82" charset="0"/>
            </a:rPr>
            <a:t>PETAPADA</a:t>
          </a:r>
          <a:r>
            <a:rPr lang="en-IN" sz="1600" baseline="0">
              <a:latin typeface="Algerian" panose="04020705040A02060702" pitchFamily="82" charset="0"/>
            </a:rPr>
            <a:t> WARRIORS</a:t>
          </a:r>
          <a:endParaRPr lang="en-IN" sz="1600">
            <a:latin typeface="Algerian" panose="04020705040A02060702" pitchFamily="82" charset="0"/>
          </a:endParaRPr>
        </a:p>
      </xdr:txBody>
    </xdr:sp>
    <xdr:clientData/>
  </xdr:twoCellAnchor>
  <xdr:twoCellAnchor>
    <xdr:from>
      <xdr:col>14</xdr:col>
      <xdr:colOff>38100</xdr:colOff>
      <xdr:row>30</xdr:row>
      <xdr:rowOff>38100</xdr:rowOff>
    </xdr:from>
    <xdr:to>
      <xdr:col>18</xdr:col>
      <xdr:colOff>190500</xdr:colOff>
      <xdr:row>33</xdr:row>
      <xdr:rowOff>152400</xdr:rowOff>
    </xdr:to>
    <xdr:sp macro="[0]!PT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81C09E3F-FBD3-44A7-85FB-B2CD610AAAB9}"/>
            </a:ext>
          </a:extLst>
        </xdr:cNvPr>
        <xdr:cNvSpPr/>
      </xdr:nvSpPr>
      <xdr:spPr>
        <a:xfrm>
          <a:off x="7334250" y="5648325"/>
          <a:ext cx="2524125" cy="676275"/>
        </a:xfrm>
        <a:prstGeom prst="roundRect">
          <a:avLst>
            <a:gd name="adj" fmla="val 50000"/>
          </a:avLst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Algerian" panose="04020705040A02060702" pitchFamily="82" charset="0"/>
            </a:rPr>
            <a:t>PETAPADA</a:t>
          </a:r>
          <a:r>
            <a:rPr lang="en-IN" sz="1600" baseline="0">
              <a:latin typeface="Algerian" panose="04020705040A02060702" pitchFamily="82" charset="0"/>
            </a:rPr>
            <a:t> TIGERS</a:t>
          </a:r>
          <a:endParaRPr lang="en-IN" sz="1600">
            <a:latin typeface="Algerian" panose="04020705040A02060702" pitchFamily="82" charset="0"/>
          </a:endParaRPr>
        </a:p>
      </xdr:txBody>
    </xdr:sp>
    <xdr:clientData/>
  </xdr:twoCellAnchor>
  <xdr:twoCellAnchor>
    <xdr:from>
      <xdr:col>14</xdr:col>
      <xdr:colOff>38100</xdr:colOff>
      <xdr:row>25</xdr:row>
      <xdr:rowOff>38100</xdr:rowOff>
    </xdr:from>
    <xdr:to>
      <xdr:col>18</xdr:col>
      <xdr:colOff>190500</xdr:colOff>
      <xdr:row>28</xdr:row>
      <xdr:rowOff>160020</xdr:rowOff>
    </xdr:to>
    <xdr:sp macro="[0]!P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A092C4E2-47D2-4577-A435-BABC9C85E21B}"/>
            </a:ext>
          </a:extLst>
        </xdr:cNvPr>
        <xdr:cNvSpPr/>
      </xdr:nvSpPr>
      <xdr:spPr>
        <a:xfrm>
          <a:off x="7334250" y="4743450"/>
          <a:ext cx="2524125" cy="664845"/>
        </a:xfrm>
        <a:prstGeom prst="roundRect">
          <a:avLst>
            <a:gd name="adj" fmla="val 50000"/>
          </a:avLst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Algerian" panose="04020705040A02060702" pitchFamily="82" charset="0"/>
            </a:rPr>
            <a:t>PETAPADA LIONS</a:t>
          </a:r>
        </a:p>
      </xdr:txBody>
    </xdr:sp>
    <xdr:clientData/>
  </xdr:twoCellAnchor>
  <xdr:twoCellAnchor>
    <xdr:from>
      <xdr:col>20</xdr:col>
      <xdr:colOff>106680</xdr:colOff>
      <xdr:row>26</xdr:row>
      <xdr:rowOff>30480</xdr:rowOff>
    </xdr:from>
    <xdr:to>
      <xdr:col>21</xdr:col>
      <xdr:colOff>495300</xdr:colOff>
      <xdr:row>28</xdr:row>
      <xdr:rowOff>160020</xdr:rowOff>
    </xdr:to>
    <xdr:sp macro="[0]!five" textlink="">
      <xdr:nvSpPr>
        <xdr:cNvPr id="13" name="Oval 12">
          <a:extLst>
            <a:ext uri="{FF2B5EF4-FFF2-40B4-BE49-F238E27FC236}">
              <a16:creationId xmlns:a16="http://schemas.microsoft.com/office/drawing/2014/main" id="{F6F1080F-AB3E-FBEA-3066-A6E04046E80B}"/>
            </a:ext>
          </a:extLst>
        </xdr:cNvPr>
        <xdr:cNvSpPr/>
      </xdr:nvSpPr>
      <xdr:spPr>
        <a:xfrm>
          <a:off x="10195560" y="4373880"/>
          <a:ext cx="998220" cy="495300"/>
        </a:xfrm>
        <a:prstGeom prst="ellipse">
          <a:avLst/>
        </a:prstGeom>
        <a:solidFill>
          <a:srgbClr val="7030A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>
              <a:latin typeface="Algerian" panose="04020705040A02060702" pitchFamily="82" charset="0"/>
            </a:rPr>
            <a:t>5</a:t>
          </a:r>
        </a:p>
      </xdr:txBody>
    </xdr:sp>
    <xdr:clientData/>
  </xdr:twoCellAnchor>
  <xdr:twoCellAnchor>
    <xdr:from>
      <xdr:col>20</xdr:col>
      <xdr:colOff>99060</xdr:colOff>
      <xdr:row>31</xdr:row>
      <xdr:rowOff>114300</xdr:rowOff>
    </xdr:from>
    <xdr:to>
      <xdr:col>21</xdr:col>
      <xdr:colOff>487680</xdr:colOff>
      <xdr:row>34</xdr:row>
      <xdr:rowOff>38100</xdr:rowOff>
    </xdr:to>
    <xdr:sp macro="[0]!fifteen" textlink="">
      <xdr:nvSpPr>
        <xdr:cNvPr id="14" name="Oval 13">
          <a:extLst>
            <a:ext uri="{FF2B5EF4-FFF2-40B4-BE49-F238E27FC236}">
              <a16:creationId xmlns:a16="http://schemas.microsoft.com/office/drawing/2014/main" id="{6AB688E6-4AD2-4937-85AC-321E0D18E181}"/>
            </a:ext>
          </a:extLst>
        </xdr:cNvPr>
        <xdr:cNvSpPr/>
      </xdr:nvSpPr>
      <xdr:spPr>
        <a:xfrm>
          <a:off x="10605135" y="5915025"/>
          <a:ext cx="998220" cy="476250"/>
        </a:xfrm>
        <a:prstGeom prst="ellipse">
          <a:avLst/>
        </a:prstGeom>
        <a:solidFill>
          <a:srgbClr val="7030A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>
              <a:latin typeface="Algerian" panose="04020705040A02060702" pitchFamily="82" charset="0"/>
            </a:rPr>
            <a:t>15</a:t>
          </a:r>
        </a:p>
      </xdr:txBody>
    </xdr:sp>
    <xdr:clientData/>
  </xdr:twoCellAnchor>
  <xdr:twoCellAnchor>
    <xdr:from>
      <xdr:col>22</xdr:col>
      <xdr:colOff>78105</xdr:colOff>
      <xdr:row>26</xdr:row>
      <xdr:rowOff>30480</xdr:rowOff>
    </xdr:from>
    <xdr:to>
      <xdr:col>24</xdr:col>
      <xdr:colOff>38100</xdr:colOff>
      <xdr:row>28</xdr:row>
      <xdr:rowOff>160020</xdr:rowOff>
    </xdr:to>
    <xdr:sp macro="[0]!ten" textlink="">
      <xdr:nvSpPr>
        <xdr:cNvPr id="15" name="Oval 14">
          <a:extLst>
            <a:ext uri="{FF2B5EF4-FFF2-40B4-BE49-F238E27FC236}">
              <a16:creationId xmlns:a16="http://schemas.microsoft.com/office/drawing/2014/main" id="{1F894A2F-D957-4112-ADD4-90E3C6A147CD}"/>
            </a:ext>
          </a:extLst>
        </xdr:cNvPr>
        <xdr:cNvSpPr/>
      </xdr:nvSpPr>
      <xdr:spPr>
        <a:xfrm>
          <a:off x="11803380" y="4916805"/>
          <a:ext cx="998220" cy="491490"/>
        </a:xfrm>
        <a:prstGeom prst="ellipse">
          <a:avLst/>
        </a:prstGeom>
        <a:solidFill>
          <a:srgbClr val="7030A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>
              <a:latin typeface="Algerian" panose="04020705040A02060702" pitchFamily="82" charset="0"/>
            </a:rPr>
            <a:t>10</a:t>
          </a:r>
        </a:p>
      </xdr:txBody>
    </xdr:sp>
    <xdr:clientData/>
  </xdr:twoCellAnchor>
  <xdr:twoCellAnchor>
    <xdr:from>
      <xdr:col>22</xdr:col>
      <xdr:colOff>74295</xdr:colOff>
      <xdr:row>31</xdr:row>
      <xdr:rowOff>133350</xdr:rowOff>
    </xdr:from>
    <xdr:to>
      <xdr:col>24</xdr:col>
      <xdr:colOff>34290</xdr:colOff>
      <xdr:row>34</xdr:row>
      <xdr:rowOff>57150</xdr:rowOff>
    </xdr:to>
    <xdr:sp macro="[0]!twenty" textlink="">
      <xdr:nvSpPr>
        <xdr:cNvPr id="16" name="Oval 15">
          <a:extLst>
            <a:ext uri="{FF2B5EF4-FFF2-40B4-BE49-F238E27FC236}">
              <a16:creationId xmlns:a16="http://schemas.microsoft.com/office/drawing/2014/main" id="{82C76FC9-16E9-4559-9197-A44295A77BDF}"/>
            </a:ext>
          </a:extLst>
        </xdr:cNvPr>
        <xdr:cNvSpPr/>
      </xdr:nvSpPr>
      <xdr:spPr>
        <a:xfrm>
          <a:off x="11799570" y="5934075"/>
          <a:ext cx="998220" cy="476250"/>
        </a:xfrm>
        <a:prstGeom prst="ellipse">
          <a:avLst/>
        </a:prstGeom>
        <a:solidFill>
          <a:srgbClr val="7030A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>
              <a:latin typeface="Algerian" panose="04020705040A02060702" pitchFamily="82" charset="0"/>
            </a:rPr>
            <a:t>20</a:t>
          </a:r>
        </a:p>
      </xdr:txBody>
    </xdr:sp>
    <xdr:clientData/>
  </xdr:twoCellAnchor>
  <xdr:twoCellAnchor>
    <xdr:from>
      <xdr:col>24</xdr:col>
      <xdr:colOff>285750</xdr:colOff>
      <xdr:row>32</xdr:row>
      <xdr:rowOff>104774</xdr:rowOff>
    </xdr:from>
    <xdr:to>
      <xdr:col>26</xdr:col>
      <xdr:colOff>133350</xdr:colOff>
      <xdr:row>35</xdr:row>
      <xdr:rowOff>114300</xdr:rowOff>
    </xdr:to>
    <xdr:sp macro="[0]!_xludf.break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E7651604-F576-4D12-8BEF-BB8108721E2B}"/>
            </a:ext>
          </a:extLst>
        </xdr:cNvPr>
        <xdr:cNvSpPr/>
      </xdr:nvSpPr>
      <xdr:spPr>
        <a:xfrm>
          <a:off x="13049250" y="6095999"/>
          <a:ext cx="1066800" cy="55245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BREAK</a:t>
          </a:r>
        </a:p>
      </xdr:txBody>
    </xdr:sp>
    <xdr:clientData/>
  </xdr:twoCellAnchor>
  <xdr:twoCellAnchor>
    <xdr:from>
      <xdr:col>24</xdr:col>
      <xdr:colOff>285750</xdr:colOff>
      <xdr:row>29</xdr:row>
      <xdr:rowOff>28575</xdr:rowOff>
    </xdr:from>
    <xdr:to>
      <xdr:col>26</xdr:col>
      <xdr:colOff>133350</xdr:colOff>
      <xdr:row>32</xdr:row>
      <xdr:rowOff>0</xdr:rowOff>
    </xdr:to>
    <xdr:sp macro="[0]!RESET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48E3DBCE-A430-4BF1-9B15-7EF5C7D3CBA2}"/>
            </a:ext>
          </a:extLst>
        </xdr:cNvPr>
        <xdr:cNvSpPr/>
      </xdr:nvSpPr>
      <xdr:spPr>
        <a:xfrm>
          <a:off x="13049250" y="5457825"/>
          <a:ext cx="1066800" cy="533400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RESET</a:t>
          </a:r>
        </a:p>
      </xdr:txBody>
    </xdr:sp>
    <xdr:clientData/>
  </xdr:twoCellAnchor>
  <xdr:twoCellAnchor>
    <xdr:from>
      <xdr:col>24</xdr:col>
      <xdr:colOff>285750</xdr:colOff>
      <xdr:row>25</xdr:row>
      <xdr:rowOff>104775</xdr:rowOff>
    </xdr:from>
    <xdr:to>
      <xdr:col>26</xdr:col>
      <xdr:colOff>133350</xdr:colOff>
      <xdr:row>28</xdr:row>
      <xdr:rowOff>95250</xdr:rowOff>
    </xdr:to>
    <xdr:sp macro="[0]!star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A33DD73A-4CB6-4EF1-9A40-03A394AE04FD}"/>
            </a:ext>
          </a:extLst>
        </xdr:cNvPr>
        <xdr:cNvSpPr/>
      </xdr:nvSpPr>
      <xdr:spPr>
        <a:xfrm>
          <a:off x="13049250" y="4810125"/>
          <a:ext cx="1066800" cy="5334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START</a:t>
          </a:r>
        </a:p>
      </xdr:txBody>
    </xdr:sp>
    <xdr:clientData/>
  </xdr:twoCellAnchor>
  <xdr:twoCellAnchor>
    <xdr:from>
      <xdr:col>24</xdr:col>
      <xdr:colOff>285750</xdr:colOff>
      <xdr:row>21</xdr:row>
      <xdr:rowOff>161925</xdr:rowOff>
    </xdr:from>
    <xdr:to>
      <xdr:col>26</xdr:col>
      <xdr:colOff>133350</xdr:colOff>
      <xdr:row>24</xdr:row>
      <xdr:rowOff>152400</xdr:rowOff>
    </xdr:to>
    <xdr:sp macro="[0]!hold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EC546FCB-87B0-4F41-83AC-F7CBEC5D02B4}"/>
            </a:ext>
          </a:extLst>
        </xdr:cNvPr>
        <xdr:cNvSpPr/>
      </xdr:nvSpPr>
      <xdr:spPr>
        <a:xfrm>
          <a:off x="13049250" y="4143375"/>
          <a:ext cx="1066800" cy="533400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STOP</a:t>
          </a:r>
        </a:p>
      </xdr:txBody>
    </xdr:sp>
    <xdr:clientData/>
  </xdr:twoCellAnchor>
  <xdr:twoCellAnchor>
    <xdr:from>
      <xdr:col>19</xdr:col>
      <xdr:colOff>590550</xdr:colOff>
      <xdr:row>16</xdr:row>
      <xdr:rowOff>133350</xdr:rowOff>
    </xdr:from>
    <xdr:to>
      <xdr:col>26</xdr:col>
      <xdr:colOff>76200</xdr:colOff>
      <xdr:row>20</xdr:row>
      <xdr:rowOff>123825</xdr:rowOff>
    </xdr:to>
    <xdr:sp macro="[0]!random_play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8A488F8-2687-E82E-1273-F33AA8E8769C}"/>
            </a:ext>
          </a:extLst>
        </xdr:cNvPr>
        <xdr:cNvSpPr/>
      </xdr:nvSpPr>
      <xdr:spPr>
        <a:xfrm>
          <a:off x="10487025" y="3190875"/>
          <a:ext cx="3571875" cy="733425"/>
        </a:xfrm>
        <a:prstGeom prst="roundRect">
          <a:avLst>
            <a:gd name="adj" fmla="val 50000"/>
          </a:avLst>
        </a:prstGeom>
        <a:solidFill>
          <a:srgbClr val="99FFCC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 b="1" i="1">
              <a:solidFill>
                <a:sysClr val="windowText" lastClr="000000"/>
              </a:solidFill>
              <a:latin typeface="Algerian" panose="04020705040A02060702" pitchFamily="82" charset="0"/>
            </a:rPr>
            <a:t>NEXT PLAYER</a:t>
          </a:r>
        </a:p>
      </xdr:txBody>
    </xdr:sp>
    <xdr:clientData/>
  </xdr:twoCellAnchor>
  <xdr:twoCellAnchor>
    <xdr:from>
      <xdr:col>23</xdr:col>
      <xdr:colOff>400050</xdr:colOff>
      <xdr:row>36</xdr:row>
      <xdr:rowOff>47625</xdr:rowOff>
    </xdr:from>
    <xdr:to>
      <xdr:col>26</xdr:col>
      <xdr:colOff>114300</xdr:colOff>
      <xdr:row>39</xdr:row>
      <xdr:rowOff>28575</xdr:rowOff>
    </xdr:to>
    <xdr:sp macro="[0]!sheet_teams" textlink="">
      <xdr:nvSpPr>
        <xdr:cNvPr id="7" name="Rectangle: Diagonal Corners Rounded 6">
          <a:extLst>
            <a:ext uri="{FF2B5EF4-FFF2-40B4-BE49-F238E27FC236}">
              <a16:creationId xmlns:a16="http://schemas.microsoft.com/office/drawing/2014/main" id="{D4A15135-9E3F-491F-9651-4E530F040D3A}"/>
            </a:ext>
          </a:extLst>
        </xdr:cNvPr>
        <xdr:cNvSpPr/>
      </xdr:nvSpPr>
      <xdr:spPr>
        <a:xfrm>
          <a:off x="12553950" y="6762750"/>
          <a:ext cx="1543050" cy="533400"/>
        </a:xfrm>
        <a:prstGeom prst="round2Diag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ysClr val="windowText" lastClr="000000"/>
              </a:solidFill>
            </a:rPr>
            <a:t>VIEW</a:t>
          </a:r>
        </a:p>
      </xdr:txBody>
    </xdr:sp>
    <xdr:clientData/>
  </xdr:twoCellAnchor>
  <xdr:twoCellAnchor>
    <xdr:from>
      <xdr:col>14</xdr:col>
      <xdr:colOff>34290</xdr:colOff>
      <xdr:row>20</xdr:row>
      <xdr:rowOff>80010</xdr:rowOff>
    </xdr:from>
    <xdr:to>
      <xdr:col>18</xdr:col>
      <xdr:colOff>213360</xdr:colOff>
      <xdr:row>24</xdr:row>
      <xdr:rowOff>19050</xdr:rowOff>
    </xdr:to>
    <xdr:sp macro="[0]!P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C9D4CE5-CCD4-48D3-A062-F1CC06F01CA9}"/>
            </a:ext>
          </a:extLst>
        </xdr:cNvPr>
        <xdr:cNvSpPr/>
      </xdr:nvSpPr>
      <xdr:spPr>
        <a:xfrm>
          <a:off x="7334250" y="3905250"/>
          <a:ext cx="2541270" cy="670560"/>
        </a:xfrm>
        <a:prstGeom prst="roundRect">
          <a:avLst>
            <a:gd name="adj" fmla="val 50000"/>
          </a:avLst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Algerian" panose="04020705040A02060702" pitchFamily="82" charset="0"/>
            </a:rPr>
            <a:t>PETAPADA AVENGERS</a:t>
          </a:r>
        </a:p>
      </xdr:txBody>
    </xdr:sp>
    <xdr:clientData/>
  </xdr:twoCellAnchor>
  <xdr:twoCellAnchor>
    <xdr:from>
      <xdr:col>29</xdr:col>
      <xdr:colOff>323850</xdr:colOff>
      <xdr:row>11</xdr:row>
      <xdr:rowOff>38100</xdr:rowOff>
    </xdr:from>
    <xdr:to>
      <xdr:col>31</xdr:col>
      <xdr:colOff>447675</xdr:colOff>
      <xdr:row>13</xdr:row>
      <xdr:rowOff>152400</xdr:rowOff>
    </xdr:to>
    <xdr:sp macro="[0]!refresh_auction" textlink="">
      <xdr:nvSpPr>
        <xdr:cNvPr id="8" name="Oval 7">
          <a:extLst>
            <a:ext uri="{FF2B5EF4-FFF2-40B4-BE49-F238E27FC236}">
              <a16:creationId xmlns:a16="http://schemas.microsoft.com/office/drawing/2014/main" id="{A0CD81C5-B827-5C4C-A2A3-13F2BC2B5C56}"/>
            </a:ext>
          </a:extLst>
        </xdr:cNvPr>
        <xdr:cNvSpPr/>
      </xdr:nvSpPr>
      <xdr:spPr>
        <a:xfrm>
          <a:off x="15725775" y="2171700"/>
          <a:ext cx="2057400" cy="476250"/>
        </a:xfrm>
        <a:prstGeom prst="ellipse">
          <a:avLst/>
        </a:prstGeom>
        <a:solidFill>
          <a:srgbClr val="00B050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REFRESH</a:t>
          </a:r>
        </a:p>
      </xdr:txBody>
    </xdr:sp>
    <xdr:clientData/>
  </xdr:twoCellAnchor>
  <xdr:twoCellAnchor>
    <xdr:from>
      <xdr:col>29</xdr:col>
      <xdr:colOff>15240</xdr:colOff>
      <xdr:row>15</xdr:row>
      <xdr:rowOff>60960</xdr:rowOff>
    </xdr:from>
    <xdr:to>
      <xdr:col>30</xdr:col>
      <xdr:colOff>502920</xdr:colOff>
      <xdr:row>17</xdr:row>
      <xdr:rowOff>76200</xdr:rowOff>
    </xdr:to>
    <xdr:sp macro="[0]!round_1" textlink="">
      <xdr:nvSpPr>
        <xdr:cNvPr id="12" name="Rectangle 11">
          <a:extLst>
            <a:ext uri="{FF2B5EF4-FFF2-40B4-BE49-F238E27FC236}">
              <a16:creationId xmlns:a16="http://schemas.microsoft.com/office/drawing/2014/main" id="{EFFFA807-163F-7FB1-8A50-814474998A87}"/>
            </a:ext>
          </a:extLst>
        </xdr:cNvPr>
        <xdr:cNvSpPr/>
      </xdr:nvSpPr>
      <xdr:spPr>
        <a:xfrm>
          <a:off x="15407640" y="2948940"/>
          <a:ext cx="1318260" cy="396240"/>
        </a:xfrm>
        <a:prstGeom prst="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>
              <a:solidFill>
                <a:schemeClr val="bg1"/>
              </a:solidFill>
            </a:rPr>
            <a:t>ROUND</a:t>
          </a:r>
          <a:r>
            <a:rPr lang="en-IN" sz="1200" baseline="0">
              <a:solidFill>
                <a:schemeClr val="bg1"/>
              </a:solidFill>
            </a:rPr>
            <a:t> 1</a:t>
          </a:r>
          <a:endParaRPr lang="en-IN" sz="120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15240</xdr:colOff>
      <xdr:row>18</xdr:row>
      <xdr:rowOff>22860</xdr:rowOff>
    </xdr:from>
    <xdr:to>
      <xdr:col>30</xdr:col>
      <xdr:colOff>502920</xdr:colOff>
      <xdr:row>20</xdr:row>
      <xdr:rowOff>45720</xdr:rowOff>
    </xdr:to>
    <xdr:sp macro="[0]!round_2" textlink="">
      <xdr:nvSpPr>
        <xdr:cNvPr id="17" name="Rectangle 16">
          <a:extLst>
            <a:ext uri="{FF2B5EF4-FFF2-40B4-BE49-F238E27FC236}">
              <a16:creationId xmlns:a16="http://schemas.microsoft.com/office/drawing/2014/main" id="{691830DE-1C2E-47EA-8551-9E8B35B5132F}"/>
            </a:ext>
          </a:extLst>
        </xdr:cNvPr>
        <xdr:cNvSpPr/>
      </xdr:nvSpPr>
      <xdr:spPr>
        <a:xfrm>
          <a:off x="15407640" y="3474720"/>
          <a:ext cx="1318260" cy="396240"/>
        </a:xfrm>
        <a:prstGeom prst="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ROUND 2</a:t>
          </a:r>
        </a:p>
      </xdr:txBody>
    </xdr:sp>
    <xdr:clientData/>
  </xdr:twoCellAnchor>
  <xdr:twoCellAnchor>
    <xdr:from>
      <xdr:col>29</xdr:col>
      <xdr:colOff>15240</xdr:colOff>
      <xdr:row>21</xdr:row>
      <xdr:rowOff>53340</xdr:rowOff>
    </xdr:from>
    <xdr:to>
      <xdr:col>30</xdr:col>
      <xdr:colOff>502920</xdr:colOff>
      <xdr:row>23</xdr:row>
      <xdr:rowOff>83820</xdr:rowOff>
    </xdr:to>
    <xdr:sp macro="[0]!round_3" textlink="">
      <xdr:nvSpPr>
        <xdr:cNvPr id="22" name="Rectangle 21">
          <a:extLst>
            <a:ext uri="{FF2B5EF4-FFF2-40B4-BE49-F238E27FC236}">
              <a16:creationId xmlns:a16="http://schemas.microsoft.com/office/drawing/2014/main" id="{BA0D6C1F-7523-4BF2-BB42-9C9504B788C7}"/>
            </a:ext>
          </a:extLst>
        </xdr:cNvPr>
        <xdr:cNvSpPr/>
      </xdr:nvSpPr>
      <xdr:spPr>
        <a:xfrm>
          <a:off x="15407640" y="4061460"/>
          <a:ext cx="1318260" cy="396240"/>
        </a:xfrm>
        <a:prstGeom prst="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ROUND 3</a:t>
          </a:r>
        </a:p>
      </xdr:txBody>
    </xdr:sp>
    <xdr:clientData/>
  </xdr:twoCellAnchor>
  <xdr:twoCellAnchor>
    <xdr:from>
      <xdr:col>29</xdr:col>
      <xdr:colOff>15240</xdr:colOff>
      <xdr:row>24</xdr:row>
      <xdr:rowOff>106680</xdr:rowOff>
    </xdr:from>
    <xdr:to>
      <xdr:col>30</xdr:col>
      <xdr:colOff>502920</xdr:colOff>
      <xdr:row>26</xdr:row>
      <xdr:rowOff>137160</xdr:rowOff>
    </xdr:to>
    <xdr:sp macro="[0]!round_4" textlink="">
      <xdr:nvSpPr>
        <xdr:cNvPr id="23" name="Rectangle 22">
          <a:extLst>
            <a:ext uri="{FF2B5EF4-FFF2-40B4-BE49-F238E27FC236}">
              <a16:creationId xmlns:a16="http://schemas.microsoft.com/office/drawing/2014/main" id="{DBE719DB-8AD1-41BB-A023-DE63A065136B}"/>
            </a:ext>
          </a:extLst>
        </xdr:cNvPr>
        <xdr:cNvSpPr/>
      </xdr:nvSpPr>
      <xdr:spPr>
        <a:xfrm>
          <a:off x="15407640" y="4663440"/>
          <a:ext cx="1318260" cy="396240"/>
        </a:xfrm>
        <a:prstGeom prst="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ROUND4</a:t>
          </a:r>
        </a:p>
      </xdr:txBody>
    </xdr:sp>
    <xdr:clientData/>
  </xdr:twoCellAnchor>
  <xdr:twoCellAnchor>
    <xdr:from>
      <xdr:col>30</xdr:col>
      <xdr:colOff>563880</xdr:colOff>
      <xdr:row>15</xdr:row>
      <xdr:rowOff>60960</xdr:rowOff>
    </xdr:from>
    <xdr:to>
      <xdr:col>31</xdr:col>
      <xdr:colOff>777240</xdr:colOff>
      <xdr:row>17</xdr:row>
      <xdr:rowOff>76200</xdr:rowOff>
    </xdr:to>
    <xdr:sp macro="[0]!round_5" textlink="">
      <xdr:nvSpPr>
        <xdr:cNvPr id="24" name="Rectangle 23">
          <a:extLst>
            <a:ext uri="{FF2B5EF4-FFF2-40B4-BE49-F238E27FC236}">
              <a16:creationId xmlns:a16="http://schemas.microsoft.com/office/drawing/2014/main" id="{756D9765-77A6-48FC-A16F-B00B40DB4DEF}"/>
            </a:ext>
          </a:extLst>
        </xdr:cNvPr>
        <xdr:cNvSpPr/>
      </xdr:nvSpPr>
      <xdr:spPr>
        <a:xfrm>
          <a:off x="16786860" y="2948940"/>
          <a:ext cx="1318260" cy="396240"/>
        </a:xfrm>
        <a:prstGeom prst="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ROUND 5</a:t>
          </a:r>
        </a:p>
      </xdr:txBody>
    </xdr:sp>
    <xdr:clientData/>
  </xdr:twoCellAnchor>
  <xdr:twoCellAnchor>
    <xdr:from>
      <xdr:col>30</xdr:col>
      <xdr:colOff>563880</xdr:colOff>
      <xdr:row>18</xdr:row>
      <xdr:rowOff>22860</xdr:rowOff>
    </xdr:from>
    <xdr:to>
      <xdr:col>31</xdr:col>
      <xdr:colOff>777240</xdr:colOff>
      <xdr:row>20</xdr:row>
      <xdr:rowOff>45720</xdr:rowOff>
    </xdr:to>
    <xdr:sp macro="[0]!round_6" textlink="">
      <xdr:nvSpPr>
        <xdr:cNvPr id="25" name="Rectangle 24">
          <a:extLst>
            <a:ext uri="{FF2B5EF4-FFF2-40B4-BE49-F238E27FC236}">
              <a16:creationId xmlns:a16="http://schemas.microsoft.com/office/drawing/2014/main" id="{1F284600-0F3F-4DDE-912B-0A059277933E}"/>
            </a:ext>
          </a:extLst>
        </xdr:cNvPr>
        <xdr:cNvSpPr/>
      </xdr:nvSpPr>
      <xdr:spPr>
        <a:xfrm>
          <a:off x="16786860" y="3474720"/>
          <a:ext cx="1318260" cy="396240"/>
        </a:xfrm>
        <a:prstGeom prst="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ROUND 6</a:t>
          </a:r>
        </a:p>
      </xdr:txBody>
    </xdr:sp>
    <xdr:clientData/>
  </xdr:twoCellAnchor>
  <xdr:twoCellAnchor>
    <xdr:from>
      <xdr:col>30</xdr:col>
      <xdr:colOff>563880</xdr:colOff>
      <xdr:row>21</xdr:row>
      <xdr:rowOff>45720</xdr:rowOff>
    </xdr:from>
    <xdr:to>
      <xdr:col>31</xdr:col>
      <xdr:colOff>777240</xdr:colOff>
      <xdr:row>23</xdr:row>
      <xdr:rowOff>76200</xdr:rowOff>
    </xdr:to>
    <xdr:sp macro="[0]!round_7" textlink="">
      <xdr:nvSpPr>
        <xdr:cNvPr id="26" name="Rectangle 25">
          <a:extLst>
            <a:ext uri="{FF2B5EF4-FFF2-40B4-BE49-F238E27FC236}">
              <a16:creationId xmlns:a16="http://schemas.microsoft.com/office/drawing/2014/main" id="{28D7BEDF-D1FC-4A01-8A6E-F8677B12FE36}"/>
            </a:ext>
          </a:extLst>
        </xdr:cNvPr>
        <xdr:cNvSpPr/>
      </xdr:nvSpPr>
      <xdr:spPr>
        <a:xfrm>
          <a:off x="16786860" y="4053840"/>
          <a:ext cx="1318260" cy="396240"/>
        </a:xfrm>
        <a:prstGeom prst="rect">
          <a:avLst/>
        </a:prstGeom>
        <a:solidFill>
          <a:srgbClr val="C0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ROUND 7</a:t>
          </a:r>
        </a:p>
      </xdr:txBody>
    </xdr:sp>
    <xdr:clientData/>
  </xdr:twoCellAnchor>
  <xdr:twoCellAnchor>
    <xdr:from>
      <xdr:col>30</xdr:col>
      <xdr:colOff>563880</xdr:colOff>
      <xdr:row>24</xdr:row>
      <xdr:rowOff>114300</xdr:rowOff>
    </xdr:from>
    <xdr:to>
      <xdr:col>31</xdr:col>
      <xdr:colOff>777240</xdr:colOff>
      <xdr:row>26</xdr:row>
      <xdr:rowOff>144780</xdr:rowOff>
    </xdr:to>
    <xdr:sp macro="[0]!round_8" textlink="">
      <xdr:nvSpPr>
        <xdr:cNvPr id="27" name="Rectangle 26">
          <a:extLst>
            <a:ext uri="{FF2B5EF4-FFF2-40B4-BE49-F238E27FC236}">
              <a16:creationId xmlns:a16="http://schemas.microsoft.com/office/drawing/2014/main" id="{9E1A1128-EF16-4A83-859F-27A65A5A0559}"/>
            </a:ext>
          </a:extLst>
        </xdr:cNvPr>
        <xdr:cNvSpPr/>
      </xdr:nvSpPr>
      <xdr:spPr>
        <a:xfrm>
          <a:off x="16786860" y="4671060"/>
          <a:ext cx="1318260" cy="396240"/>
        </a:xfrm>
        <a:prstGeom prst="rect">
          <a:avLst/>
        </a:prstGeom>
        <a:solidFill>
          <a:srgbClr val="C000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ROUND8</a:t>
          </a:r>
        </a:p>
      </xdr:txBody>
    </xdr:sp>
    <xdr:clientData/>
  </xdr:twoCellAnchor>
  <xdr:twoCellAnchor>
    <xdr:from>
      <xdr:col>29</xdr:col>
      <xdr:colOff>693420</xdr:colOff>
      <xdr:row>27</xdr:row>
      <xdr:rowOff>7620</xdr:rowOff>
    </xdr:from>
    <xdr:to>
      <xdr:col>31</xdr:col>
      <xdr:colOff>76200</xdr:colOff>
      <xdr:row>29</xdr:row>
      <xdr:rowOff>38100</xdr:rowOff>
    </xdr:to>
    <xdr:sp macro="[0]!round_unsold" textlink="">
      <xdr:nvSpPr>
        <xdr:cNvPr id="28" name="Rectangle 27">
          <a:extLst>
            <a:ext uri="{FF2B5EF4-FFF2-40B4-BE49-F238E27FC236}">
              <a16:creationId xmlns:a16="http://schemas.microsoft.com/office/drawing/2014/main" id="{52351E5E-D2E1-43F7-9DCC-7DFF92CDBCE3}"/>
            </a:ext>
          </a:extLst>
        </xdr:cNvPr>
        <xdr:cNvSpPr/>
      </xdr:nvSpPr>
      <xdr:spPr>
        <a:xfrm>
          <a:off x="16085820" y="5113020"/>
          <a:ext cx="1318260" cy="396240"/>
        </a:xfrm>
        <a:prstGeom prst="rect">
          <a:avLst/>
        </a:prstGeom>
        <a:solidFill>
          <a:srgbClr val="7030A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UN-SOLD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818148</xdr:colOff>
      <xdr:row>0</xdr:row>
      <xdr:rowOff>60157</xdr:rowOff>
    </xdr:from>
    <xdr:to>
      <xdr:col>4</xdr:col>
      <xdr:colOff>689810</xdr:colOff>
      <xdr:row>0</xdr:row>
      <xdr:rowOff>232611</xdr:rowOff>
    </xdr:to>
    <xdr:sp macro="[0]!sheet_ac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F5031D8-8714-465C-883B-E1879D5AA9A3}"/>
            </a:ext>
          </a:extLst>
        </xdr:cNvPr>
        <xdr:cNvSpPr/>
      </xdr:nvSpPr>
      <xdr:spPr>
        <a:xfrm>
          <a:off x="2482516" y="60157"/>
          <a:ext cx="1564105" cy="172454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5">
                <a:lumMod val="40000"/>
                <a:lumOff val="60000"/>
              </a:schemeClr>
            </a:gs>
            <a:gs pos="46000">
              <a:schemeClr val="accent5">
                <a:lumMod val="95000"/>
                <a:lumOff val="5000"/>
              </a:schemeClr>
            </a:gs>
            <a:gs pos="100000">
              <a:schemeClr val="accent5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Lucida Handwriting" panose="03010101010101010101" pitchFamily="66" charset="0"/>
            </a:rPr>
            <a:t>CONTINUE</a:t>
          </a:r>
        </a:p>
      </xdr:txBody>
    </xdr:sp>
    <xdr:clientData/>
  </xdr:twoCellAnchor>
  <xdr:twoCellAnchor>
    <xdr:from>
      <xdr:col>5</xdr:col>
      <xdr:colOff>60158</xdr:colOff>
      <xdr:row>0</xdr:row>
      <xdr:rowOff>48127</xdr:rowOff>
    </xdr:from>
    <xdr:to>
      <xdr:col>6</xdr:col>
      <xdr:colOff>92237</xdr:colOff>
      <xdr:row>0</xdr:row>
      <xdr:rowOff>232611</xdr:rowOff>
    </xdr:to>
    <xdr:sp macro="[0]!sheet_team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6FE5E65-9B4D-4F31-A949-2E588B767F16}"/>
            </a:ext>
          </a:extLst>
        </xdr:cNvPr>
        <xdr:cNvSpPr/>
      </xdr:nvSpPr>
      <xdr:spPr>
        <a:xfrm>
          <a:off x="4363453" y="48127"/>
          <a:ext cx="1724521" cy="184484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2">
                <a:lumMod val="40000"/>
                <a:lumOff val="60000"/>
              </a:schemeClr>
            </a:gs>
            <a:gs pos="46000">
              <a:schemeClr val="accent2">
                <a:lumMod val="95000"/>
                <a:lumOff val="5000"/>
              </a:schemeClr>
            </a:gs>
            <a:gs pos="100000">
              <a:schemeClr val="accent2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Lucida Handwriting" panose="03010101010101010101" pitchFamily="66" charset="0"/>
            </a:rPr>
            <a:t>TEAMS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31750</xdr:colOff>
      <xdr:row>0</xdr:row>
      <xdr:rowOff>69850</xdr:rowOff>
    </xdr:from>
    <xdr:to>
      <xdr:col>15</xdr:col>
      <xdr:colOff>25400</xdr:colOff>
      <xdr:row>2</xdr:row>
      <xdr:rowOff>127000</xdr:rowOff>
    </xdr:to>
    <xdr:sp macro="[0]!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0BD00AD-8807-AC6D-2534-BF67A1D44010}"/>
            </a:ext>
          </a:extLst>
        </xdr:cNvPr>
        <xdr:cNvSpPr/>
      </xdr:nvSpPr>
      <xdr:spPr>
        <a:xfrm>
          <a:off x="9061450" y="69850"/>
          <a:ext cx="2057400" cy="42545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46000">
              <a:schemeClr val="accent6">
                <a:lumMod val="95000"/>
                <a:lumOff val="5000"/>
              </a:schemeClr>
            </a:gs>
            <a:gs pos="100000">
              <a:schemeClr val="accent6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latin typeface="Lucida Handwriting" panose="03010101010101010101" pitchFamily="66" charset="0"/>
            </a:rPr>
            <a:t>REFRESH</a:t>
          </a:r>
        </a:p>
      </xdr:txBody>
    </xdr:sp>
    <xdr:clientData/>
  </xdr:twoCellAnchor>
  <xdr:twoCellAnchor>
    <xdr:from>
      <xdr:col>9</xdr:col>
      <xdr:colOff>25400</xdr:colOff>
      <xdr:row>0</xdr:row>
      <xdr:rowOff>69850</xdr:rowOff>
    </xdr:from>
    <xdr:to>
      <xdr:col>11</xdr:col>
      <xdr:colOff>38100</xdr:colOff>
      <xdr:row>2</xdr:row>
      <xdr:rowOff>127000</xdr:rowOff>
    </xdr:to>
    <xdr:sp macro="[0]!sheet_ac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E296015-E80A-47AE-9D20-1BCF17DA84D4}"/>
            </a:ext>
          </a:extLst>
        </xdr:cNvPr>
        <xdr:cNvSpPr/>
      </xdr:nvSpPr>
      <xdr:spPr>
        <a:xfrm>
          <a:off x="6076950" y="69850"/>
          <a:ext cx="2076450" cy="42545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5">
                <a:lumMod val="40000"/>
                <a:lumOff val="60000"/>
              </a:schemeClr>
            </a:gs>
            <a:gs pos="46000">
              <a:schemeClr val="accent5">
                <a:lumMod val="95000"/>
                <a:lumOff val="5000"/>
              </a:schemeClr>
            </a:gs>
            <a:gs pos="100000">
              <a:schemeClr val="accent5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Lucida Handwriting" panose="03010101010101010101" pitchFamily="66" charset="0"/>
            </a:rPr>
            <a:t>CONTINUE</a:t>
          </a:r>
        </a:p>
      </xdr:txBody>
    </xdr:sp>
    <xdr:clientData/>
  </xdr:twoCellAnchor>
  <xdr:twoCellAnchor>
    <xdr:from>
      <xdr:col>5</xdr:col>
      <xdr:colOff>19050</xdr:colOff>
      <xdr:row>0</xdr:row>
      <xdr:rowOff>57150</xdr:rowOff>
    </xdr:from>
    <xdr:to>
      <xdr:col>7</xdr:col>
      <xdr:colOff>57150</xdr:colOff>
      <xdr:row>2</xdr:row>
      <xdr:rowOff>114300</xdr:rowOff>
    </xdr:to>
    <xdr:sp macro="[0]!sheet_unsol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4722C8C-5AC2-4FFA-8C73-EB52D5435AFE}"/>
            </a:ext>
          </a:extLst>
        </xdr:cNvPr>
        <xdr:cNvSpPr/>
      </xdr:nvSpPr>
      <xdr:spPr>
        <a:xfrm>
          <a:off x="3092450" y="57150"/>
          <a:ext cx="2101850" cy="42545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2">
                <a:lumMod val="40000"/>
                <a:lumOff val="60000"/>
              </a:schemeClr>
            </a:gs>
            <a:gs pos="46000">
              <a:schemeClr val="accent2">
                <a:lumMod val="95000"/>
                <a:lumOff val="5000"/>
              </a:schemeClr>
            </a:gs>
            <a:gs pos="100000">
              <a:schemeClr val="accent2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latin typeface="Lucida Handwriting" panose="03010101010101010101" pitchFamily="66" charset="0"/>
            </a:rPr>
            <a:t>UN-SOLD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228600</xdr:colOff>
      <xdr:row>4</xdr:row>
      <xdr:rowOff>45721</xdr:rowOff>
    </xdr:from>
    <xdr:to>
      <xdr:col>23</xdr:col>
      <xdr:colOff>397071</xdr:colOff>
      <xdr:row>24</xdr:row>
      <xdr:rowOff>137160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064472A-D770-8844-2AC2-40A145957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777241"/>
          <a:ext cx="12970071" cy="3749039"/>
        </a:xfrm>
        <a:prstGeom prst="rect">
          <a:avLst/>
        </a:prstGeom>
      </xdr:spPr>
    </xdr:pic>
    <xdr:clientData/>
  </xdr:twoCellAnchor>
  <xdr:twoCellAnchor>
    <xdr:from>
      <xdr:col>7</xdr:col>
      <xdr:colOff>236220</xdr:colOff>
      <xdr:row>20</xdr:row>
      <xdr:rowOff>83820</xdr:rowOff>
    </xdr:from>
    <xdr:to>
      <xdr:col>20</xdr:col>
      <xdr:colOff>525780</xdr:colOff>
      <xdr:row>41</xdr:row>
      <xdr:rowOff>121920</xdr:rowOff>
    </xdr:to>
    <xdr:sp macro="[0]!non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8B1FB41-7751-4929-BBC7-5201BC29DD04}"/>
            </a:ext>
          </a:extLst>
        </xdr:cNvPr>
        <xdr:cNvSpPr/>
      </xdr:nvSpPr>
      <xdr:spPr>
        <a:xfrm>
          <a:off x="3817620" y="3741420"/>
          <a:ext cx="8214360" cy="3878580"/>
        </a:xfrm>
        <a:prstGeom prst="roundRect">
          <a:avLst>
            <a:gd name="adj" fmla="val 50000"/>
          </a:avLst>
        </a:prstGeom>
        <a:ln w="34925">
          <a:solidFill>
            <a:srgbClr val="FFFFFF"/>
          </a:solidFill>
        </a:ln>
        <a:effectLst>
          <a:glow rad="228600">
            <a:schemeClr val="accent6">
              <a:satMod val="175000"/>
              <a:alpha val="40000"/>
            </a:schemeClr>
          </a:glow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100000">
            <a:rot lat="18600000" lon="19200000" rev="3000000"/>
          </a:camera>
          <a:lightRig rig="threePt" dir="t">
            <a:rot lat="0" lon="0" rev="0"/>
          </a:lightRig>
        </a:scene3d>
        <a:sp3d extrusionH="38100" prstMaterial="clear">
          <a:bevelT w="520700" h="209550" prst="softRound"/>
          <a:bevelB w="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prstTxWarp prst="textChevronInverted">
            <a:avLst/>
          </a:prstTxWarp>
          <a:scene3d>
            <a:camera prst="orthographicFront"/>
            <a:lightRig rig="harsh" dir="t"/>
          </a:scene3d>
          <a:sp3d extrusionH="57150" prstMaterial="matte">
            <a:bevelT w="63500" h="12700" prst="coolSlant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IN" sz="6600" b="1" cap="none" spc="0">
              <a:ln>
                <a:solidFill>
                  <a:schemeClr val="bg1">
                    <a:lumMod val="95000"/>
                  </a:schemeClr>
                </a:solidFill>
              </a:ln>
              <a:solidFill>
                <a:schemeClr val="accent1">
                  <a:lumMod val="60000"/>
                  <a:lumOff val="40000"/>
                </a:schemeClr>
              </a:solidFill>
              <a:effectLst>
                <a:outerShdw blurRad="228600" dist="381000" dir="7200000" sx="84000" sy="84000" kx="1300200" algn="ctr" rotWithShape="0">
                  <a:prstClr val="black">
                    <a:alpha val="38000"/>
                  </a:prstClr>
                </a:outerShdw>
              </a:effectLst>
            </a:rPr>
            <a:t>AUCTION CEREMONY</a:t>
          </a:r>
        </a:p>
      </xdr:txBody>
    </xdr:sp>
    <xdr:clientData/>
  </xdr:twoCellAnchor>
  <xdr:twoCellAnchor>
    <xdr:from>
      <xdr:col>2</xdr:col>
      <xdr:colOff>76200</xdr:colOff>
      <xdr:row>27</xdr:row>
      <xdr:rowOff>137160</xdr:rowOff>
    </xdr:from>
    <xdr:to>
      <xdr:col>10</xdr:col>
      <xdr:colOff>182880</xdr:colOff>
      <xdr:row>31</xdr:row>
      <xdr:rowOff>83820</xdr:rowOff>
    </xdr:to>
    <xdr:sp macro="[0]!non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2D66332-985D-5C36-0500-822ED4232A41}"/>
            </a:ext>
          </a:extLst>
        </xdr:cNvPr>
        <xdr:cNvSpPr/>
      </xdr:nvSpPr>
      <xdr:spPr>
        <a:xfrm>
          <a:off x="609600" y="5074920"/>
          <a:ext cx="4983480" cy="678180"/>
        </a:xfrm>
        <a:prstGeom prst="roundRect">
          <a:avLst>
            <a:gd name="adj" fmla="val 50000"/>
          </a:avLst>
        </a:prstGeom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8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  <a:latin typeface="Algerian" panose="04020705040A02060702" pitchFamily="82" charset="0"/>
            </a:rPr>
            <a:t>WELCOME</a:t>
          </a:r>
        </a:p>
      </xdr:txBody>
    </xdr:sp>
    <xdr:clientData/>
  </xdr:twoCellAnchor>
  <xdr:twoCellAnchor>
    <xdr:from>
      <xdr:col>20</xdr:col>
      <xdr:colOff>552956</xdr:colOff>
      <xdr:row>32</xdr:row>
      <xdr:rowOff>49744</xdr:rowOff>
    </xdr:from>
    <xdr:to>
      <xdr:col>23</xdr:col>
      <xdr:colOff>350723</xdr:colOff>
      <xdr:row>39</xdr:row>
      <xdr:rowOff>60529</xdr:rowOff>
    </xdr:to>
    <xdr:sp macro="[0]!sheet_action" textlink="">
      <xdr:nvSpPr>
        <xdr:cNvPr id="6" name="Arrow: Right 5">
          <a:extLst>
            <a:ext uri="{FF2B5EF4-FFF2-40B4-BE49-F238E27FC236}">
              <a16:creationId xmlns:a16="http://schemas.microsoft.com/office/drawing/2014/main" id="{15E9FA4B-AF79-E8D3-202D-7C730B3644B1}"/>
            </a:ext>
          </a:extLst>
        </xdr:cNvPr>
        <xdr:cNvSpPr/>
      </xdr:nvSpPr>
      <xdr:spPr>
        <a:xfrm>
          <a:off x="12059156" y="5901904"/>
          <a:ext cx="1626567" cy="1290945"/>
        </a:xfrm>
        <a:prstGeom prst="rightArrow">
          <a:avLst>
            <a:gd name="adj1" fmla="val 52361"/>
            <a:gd name="adj2" fmla="val 54132"/>
          </a:avLst>
        </a:prstGeom>
        <a:solidFill>
          <a:schemeClr val="accent2">
            <a:lumMod val="50000"/>
          </a:schemeClr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88000" rtlCol="0" anchor="ctr" anchorCtr="0">
          <a:sp3d extrusionH="57150">
            <a:bevelT w="38100" h="38100"/>
          </a:sp3d>
        </a:bodyPr>
        <a:lstStyle/>
        <a:p>
          <a:pPr algn="ctr"/>
          <a:r>
            <a:rPr lang="en-IN" sz="1600" b="1" cap="none" spc="50">
              <a:ln w="9525" cmpd="sng">
                <a:noFill/>
                <a:prstDash val="solid"/>
              </a:ln>
              <a:solidFill>
                <a:srgbClr val="66FFFF"/>
              </a:solidFill>
              <a:effectLst>
                <a:glow rad="38100">
                  <a:schemeClr val="accent1">
                    <a:alpha val="40000"/>
                  </a:schemeClr>
                </a:glow>
                <a:outerShdw blurRad="330200" dist="330200" dir="7080000" sx="107000" sy="107000" rotWithShape="0">
                  <a:prstClr val="black">
                    <a:alpha val="56000"/>
                  </a:prstClr>
                </a:outerShdw>
              </a:effectLst>
              <a:latin typeface="Cooper Black" panose="0208090404030B020404" pitchFamily="18" charset="0"/>
            </a:rPr>
            <a:t>START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0F23F1-A39C-4BC5-8DE2-3707DB688B5F}" name="Auction_P" displayName="Auction_P" ref="B5:G26" totalsRowShown="0" headerRowDxfId="119" dataDxfId="118" tableBorderDxfId="117">
  <autoFilter ref="B5:G26" xr:uid="{870F23F1-A39C-4BC5-8DE2-3707DB688B5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5:G6">
    <sortCondition ref="C4:C5"/>
  </sortState>
  <tableColumns count="6">
    <tableColumn id="6" xr3:uid="{EF4DEE42-9E2D-4653-9CFE-9137CDC70853}" name="Sl No" dataDxfId="116">
      <calculatedColumnFormula>ROWS($B$6:Auction_P[[#This Row],[Sl No]])-1</calculatedColumnFormula>
    </tableColumn>
    <tableColumn id="4" xr3:uid="{52276168-4FFD-42A2-B08B-4F0CD5783832}" name="Group" dataDxfId="115"/>
    <tableColumn id="1" xr3:uid="{76ADC254-B5AB-4959-A896-7A34FDD00F04}" name="Name" dataDxfId="114"/>
    <tableColumn id="2" xr3:uid="{0C5929A8-D697-4B9C-BCB7-CE311E60CF57}" name="Batting Hand" dataDxfId="113"/>
    <tableColumn id="3" xr3:uid="{C57B8C76-FEDE-4B37-B164-7ED847440C8B}" name="Bowling Style" dataDxfId="112"/>
    <tableColumn id="5" xr3:uid="{DC6F4DDB-5B6B-4EE9-95C1-E4D567FA7CC7}" name="Base Value" dataDxfId="111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E4BA54-DC37-483E-BF8D-72B833DD7DB7}" name="Auction_P11" displayName="Auction_P11" ref="A4:F14" totalsRowShown="0" headerRowDxfId="110" dataDxfId="109" tableBorderDxfId="108">
  <autoFilter ref="A4:F14" xr:uid="{41E4BA54-DC37-483E-BF8D-72B833DD7DB7}"/>
  <sortState xmlns:xlrd2="http://schemas.microsoft.com/office/spreadsheetml/2017/richdata2" ref="A5:F6">
    <sortCondition ref="B7:B8"/>
  </sortState>
  <tableColumns count="6">
    <tableColumn id="6" xr3:uid="{CBB8EA5A-6A3E-46CA-8337-385CF4054F2C}" name="Sl No" dataDxfId="107">
      <calculatedColumnFormula>ROWS($A$5:Auction_P11[[#This Row],[Sl No]])</calculatedColumnFormula>
    </tableColumn>
    <tableColumn id="4" xr3:uid="{CA9361DC-B2E3-4DB1-8128-AD51724D8B14}" name="Group" dataDxfId="106"/>
    <tableColumn id="1" xr3:uid="{89487C49-192D-4113-9DF3-A8905E9C259B}" name="Name" dataDxfId="105"/>
    <tableColumn id="2" xr3:uid="{F19C481E-5512-4925-816E-085BB2FD4FDD}" name="Batting Hand" dataDxfId="104"/>
    <tableColumn id="3" xr3:uid="{FC6E6BED-F78E-442E-9DB8-2FDD4E046F6E}" name="Bowling Style" dataDxfId="103"/>
    <tableColumn id="5" xr3:uid="{32ECA2EE-88F4-45F5-AA1E-3445A3C18B9A}" name="Base Value" dataDxfId="102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854247-6EFB-4B0A-A6AF-40C638E50BDB}" name="Auction_P1112" displayName="Auction_P1112" ref="H4:M14" totalsRowShown="0" headerRowDxfId="101" dataDxfId="100" tableBorderDxfId="99">
  <autoFilter ref="H4:M14" xr:uid="{CA854247-6EFB-4B0A-A6AF-40C638E50BDB}"/>
  <sortState xmlns:xlrd2="http://schemas.microsoft.com/office/spreadsheetml/2017/richdata2" ref="H5:M6">
    <sortCondition ref="I7:I8"/>
  </sortState>
  <tableColumns count="6">
    <tableColumn id="6" xr3:uid="{6FFAC244-792E-415A-9825-E777F3B0195C}" name="Sl No" dataDxfId="98">
      <calculatedColumnFormula>ROWS($A$5:Auction_P1112[[#This Row],[Sl No]])</calculatedColumnFormula>
    </tableColumn>
    <tableColumn id="4" xr3:uid="{77281A4C-633B-4B24-8357-8BF7AFF7BFC1}" name="Group" dataDxfId="97"/>
    <tableColumn id="1" xr3:uid="{64E74F20-FF8C-45BF-9454-CA7A44549BBC}" name="Name" dataDxfId="96"/>
    <tableColumn id="2" xr3:uid="{7A80F601-2D77-49FB-AD60-C889083F5C28}" name="Batting Hand" dataDxfId="95"/>
    <tableColumn id="3" xr3:uid="{73C85431-78F4-4FED-AF8C-A58E1C271591}" name="Bowling Style" dataDxfId="94"/>
    <tableColumn id="5" xr3:uid="{F6E1CF6E-943D-46FB-B906-3CCC1A5269DC}" name="Base Value" dataDxfId="93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D7C7ADD-ECDE-4F97-B0D3-125497C05DA7}" name="Auction_P1113" displayName="Auction_P1113" ref="O4:T14" totalsRowShown="0" headerRowDxfId="92" dataDxfId="91" tableBorderDxfId="90">
  <autoFilter ref="O4:T14" xr:uid="{3D7C7ADD-ECDE-4F97-B0D3-125497C05DA7}"/>
  <sortState xmlns:xlrd2="http://schemas.microsoft.com/office/spreadsheetml/2017/richdata2" ref="O5:T6">
    <sortCondition ref="P7:P8"/>
  </sortState>
  <tableColumns count="6">
    <tableColumn id="6" xr3:uid="{418E6789-430A-4506-BC2B-D4E67232B8C4}" name="Sl No" dataDxfId="89">
      <calculatedColumnFormula>ROWS($A$5:Auction_P1113[[#This Row],[Sl No]])</calculatedColumnFormula>
    </tableColumn>
    <tableColumn id="4" xr3:uid="{BB99CC89-8327-4049-85D0-DD263EA0596F}" name="Group" dataDxfId="88"/>
    <tableColumn id="1" xr3:uid="{4D578641-3BF6-47E9-A8A1-23DFAA6D8B8D}" name="Name" dataDxfId="87"/>
    <tableColumn id="2" xr3:uid="{32A976CD-AC72-4707-BCDA-F4556E07E2C0}" name="Batting Hand" dataDxfId="86"/>
    <tableColumn id="3" xr3:uid="{D8CCDE7A-4BB3-40BA-B5BE-49754885B0F4}" name="Bowling Style" dataDxfId="85"/>
    <tableColumn id="5" xr3:uid="{F55415F9-6DEA-4DC9-996A-EC6DB89EC92C}" name="Base Value" dataDxfId="84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1520CC1-52A2-4BCC-A733-FB017BA4F2C7}" name="Auction_P1114" displayName="Auction_P1114" ref="V4:AA14" totalsRowShown="0" headerRowDxfId="83" dataDxfId="82" tableBorderDxfId="81">
  <autoFilter ref="V4:AA14" xr:uid="{F1520CC1-52A2-4BCC-A733-FB017BA4F2C7}"/>
  <sortState xmlns:xlrd2="http://schemas.microsoft.com/office/spreadsheetml/2017/richdata2" ref="V5:AA6">
    <sortCondition ref="W7:W8"/>
  </sortState>
  <tableColumns count="6">
    <tableColumn id="6" xr3:uid="{CA7C7FB6-9939-403E-95E3-437815B436A0}" name="Sl No" dataDxfId="80">
      <calculatedColumnFormula>ROWS($A$5:Auction_P1114[[#This Row],[Sl No]])</calculatedColumnFormula>
    </tableColumn>
    <tableColumn id="4" xr3:uid="{AD7DAE67-2216-4787-BDDB-418B7D3840D3}" name="Group" dataDxfId="79"/>
    <tableColumn id="1" xr3:uid="{94BA858E-EE11-45FE-B546-2376759799B5}" name="Name" dataDxfId="78"/>
    <tableColumn id="2" xr3:uid="{ABA3DCF7-B95F-464C-B3DC-F5F34BF3B271}" name="Batting Hand" dataDxfId="77"/>
    <tableColumn id="3" xr3:uid="{0DA2EFD6-226B-455A-A63A-FF1AD02BD30D}" name="Bowling Style" dataDxfId="76"/>
    <tableColumn id="5" xr3:uid="{7F434834-6A61-4A82-8FB1-200348DC40CD}" name="Base Value" dataDxfId="75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1EEE7AA-F9D8-40E3-BE93-3A66CE2367E9}" name="Auction_P1115" displayName="Auction_P1115" ref="A19:F29" totalsRowShown="0" headerRowDxfId="74" dataDxfId="73" tableBorderDxfId="72">
  <autoFilter ref="A19:F29" xr:uid="{C1EEE7AA-F9D8-40E3-BE93-3A66CE2367E9}"/>
  <sortState xmlns:xlrd2="http://schemas.microsoft.com/office/spreadsheetml/2017/richdata2" ref="A20:F21">
    <sortCondition ref="B7:B8"/>
  </sortState>
  <tableColumns count="6">
    <tableColumn id="6" xr3:uid="{1DC81018-1DD3-4E29-B044-8750EF7D292F}" name="Sl No" dataDxfId="71">
      <calculatedColumnFormula>ROWS($A$20:Auction_P1115[[#This Row],[Sl No]])</calculatedColumnFormula>
    </tableColumn>
    <tableColumn id="4" xr3:uid="{0ABF8CD2-065E-494C-B326-34661B9D5F6B}" name="Group" dataDxfId="70"/>
    <tableColumn id="1" xr3:uid="{D1473A91-030B-4883-B6B2-73419E45E0B3}" name="Name" dataDxfId="69"/>
    <tableColumn id="2" xr3:uid="{BD214E20-9C6A-4C7D-9C04-C6CEBA272902}" name="Batting Hand" dataDxfId="68"/>
    <tableColumn id="3" xr3:uid="{9F17AEAA-01B3-45EC-9E8A-7286E81731CD}" name="Bowling Style" dataDxfId="67"/>
    <tableColumn id="5" xr3:uid="{036F8350-3233-42A0-AF8F-8301F5827C26}" name="Base Value" dataDxfId="66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64EEFAB-6C3D-4C41-A2EC-0D61E1C5C99B}" name="Auction_P1116" displayName="Auction_P1116" ref="H19:M29" totalsRowShown="0" headerRowDxfId="65" dataDxfId="64" tableBorderDxfId="63">
  <autoFilter ref="H19:M29" xr:uid="{964EEFAB-6C3D-4C41-A2EC-0D61E1C5C99B}"/>
  <sortState xmlns:xlrd2="http://schemas.microsoft.com/office/spreadsheetml/2017/richdata2" ref="H20:M21">
    <sortCondition ref="I7:I8"/>
  </sortState>
  <tableColumns count="6">
    <tableColumn id="6" xr3:uid="{75A89D5F-BCD0-4ACF-BDEC-F2F8382E0C13}" name="Sl No" dataDxfId="62">
      <calculatedColumnFormula>ROWS($A$20:Auction_P1116[[#This Row],[Sl No]])</calculatedColumnFormula>
    </tableColumn>
    <tableColumn id="4" xr3:uid="{75636A04-A059-4B48-B72E-BAEB933CA49A}" name="Group" dataDxfId="61"/>
    <tableColumn id="1" xr3:uid="{14498A7D-211F-4E0B-9CFE-4894A519A36E}" name="Name" dataDxfId="60"/>
    <tableColumn id="2" xr3:uid="{5EFE0DC8-7E8E-4EA5-911B-80C28795D185}" name="Batting Hand" dataDxfId="59"/>
    <tableColumn id="3" xr3:uid="{CA8C9575-8CA7-4622-9E38-61100CBFB09E}" name="Bowling Style" dataDxfId="58"/>
    <tableColumn id="5" xr3:uid="{09369B01-BF52-4992-BF60-C9777E8B9B0B}" name="Base Value" dataDxfId="57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4422138-A7D1-4757-869E-DDEFD45E35CE}" name="Auction_P1117" displayName="Auction_P1117" ref="O19:T29" totalsRowShown="0" headerRowDxfId="56" dataDxfId="55" tableBorderDxfId="54">
  <autoFilter ref="O19:T29" xr:uid="{D4422138-A7D1-4757-869E-DDEFD45E35CE}"/>
  <sortState xmlns:xlrd2="http://schemas.microsoft.com/office/spreadsheetml/2017/richdata2" ref="O20:T21">
    <sortCondition ref="P7:P8"/>
  </sortState>
  <tableColumns count="6">
    <tableColumn id="6" xr3:uid="{48C6834B-EBD0-4039-AFF3-1E9286823B93}" name="Sl No" dataDxfId="53">
      <calculatedColumnFormula>ROWS($A$20:Auction_P1117[[#This Row],[Sl No]])</calculatedColumnFormula>
    </tableColumn>
    <tableColumn id="4" xr3:uid="{505AF184-CB04-4C79-8968-58669C09DA9C}" name="Group" dataDxfId="52"/>
    <tableColumn id="1" xr3:uid="{A7F8695F-FEDC-4CF7-8065-21E4EB4E367A}" name="Name" dataDxfId="51"/>
    <tableColumn id="2" xr3:uid="{F5D681FC-41B2-45E2-9CB2-F8135A33CDF1}" name="Batting Hand" dataDxfId="50"/>
    <tableColumn id="3" xr3:uid="{17D899FA-8B89-492A-805F-254522731D48}" name="Bowling Style" dataDxfId="49"/>
    <tableColumn id="5" xr3:uid="{6EC349A9-6B70-450A-ACC8-C934F6B94723}" name="Base Value" dataDxfId="48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42689A6-1CF8-4686-B40B-2906659111F2}" name="Auction_P1119" displayName="Auction_P1119" ref="V19:AA29" totalsRowShown="0" headerRowDxfId="47" dataDxfId="46" tableBorderDxfId="45">
  <autoFilter ref="V19:AA29" xr:uid="{C42689A6-1CF8-4686-B40B-2906659111F2}"/>
  <sortState xmlns:xlrd2="http://schemas.microsoft.com/office/spreadsheetml/2017/richdata2" ref="V20:AA21">
    <sortCondition ref="W7:W8"/>
  </sortState>
  <tableColumns count="6">
    <tableColumn id="6" xr3:uid="{584B30EF-59E7-42C4-88E0-5FE68CBFC03E}" name="Sl No" dataDxfId="44">
      <calculatedColumnFormula>ROWS($A$20:Auction_P1119[[#This Row],[Sl No]])</calculatedColumnFormula>
    </tableColumn>
    <tableColumn id="4" xr3:uid="{17E4A9AB-F1B3-44FF-B4B4-1FD0298DF912}" name="Group" dataDxfId="43"/>
    <tableColumn id="1" xr3:uid="{0F28CC60-797C-43FF-BDA8-5B3E2B19B960}" name="Name" dataDxfId="42"/>
    <tableColumn id="2" xr3:uid="{B882EA87-0EE7-46AC-9ED5-FE478684E553}" name="Batting Hand" dataDxfId="41"/>
    <tableColumn id="3" xr3:uid="{45A5D4D6-A21D-4A3A-B2F5-B9CAD87886F1}" name="Bowling Style" dataDxfId="40"/>
    <tableColumn id="5" xr3:uid="{75CB2F7E-53EF-4E3F-9E43-69FD9170F0B2}" name="Base Value" dataDxfId="39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A2FB-19FE-4AEB-B983-BCA5040CDF95}" name="All_p" displayName="All_p" ref="B2:G107" totalsRowShown="0" headerRowDxfId="38" dataDxfId="37">
  <autoFilter ref="B2:G107" xr:uid="{74CBA2FB-19FE-4AEB-B983-BCA5040CDF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249A220-785B-4AC2-9BB2-C26E2FAB4C81}" name="Sl No" dataDxfId="36">
      <calculatedColumnFormula>ROWS($B$3:All_p[[#This Row],[Sl No]])-2</calculatedColumnFormula>
    </tableColumn>
    <tableColumn id="2" xr3:uid="{696DF026-8ABB-4201-8499-322DE2F0F1B6}" name="Group" dataDxfId="35"/>
    <tableColumn id="3" xr3:uid="{1A11CFF6-FD18-4DC0-8C22-35B335B827A3}" name="Name" dataDxfId="34"/>
    <tableColumn id="4" xr3:uid="{6C3F1B8C-6A0E-410A-AFF7-E17946A891E0}" name="Batting Hand" dataDxfId="33"/>
    <tableColumn id="5" xr3:uid="{80A2CB8F-D75A-4F15-9370-4A29F94A6571}" name="Bowling Style" dataDxfId="32"/>
    <tableColumn id="6" xr3:uid="{A403AB8D-5132-4985-99F6-E9C964B7366C}" name="Base Value" dataDxfId="31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45D37E-2E08-48B6-8A3C-D63AC53FAB73}" name="Sold_P" displayName="Sold_P" ref="B2:I54" totalsRowShown="0" headerRowDxfId="30" dataDxfId="28" headerRowBorderDxfId="29" tableBorderDxfId="27">
  <autoFilter ref="B2:I54" xr:uid="{AD45D37E-2E08-48B6-8A3C-D63AC53FAB7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CEB2F3F-6FB9-4224-A694-F07EF33A8B68}" name="Sl No" dataDxfId="26">
      <calculatedColumnFormula>ROWS($B$3:Sold_P[[#This Row],[Sl No]])-2</calculatedColumnFormula>
    </tableColumn>
    <tableColumn id="2" xr3:uid="{16FA9B43-F940-40A6-AEE8-F202AE4A03F6}" name="Group" dataDxfId="25"/>
    <tableColumn id="3" xr3:uid="{EC3F0665-BEAE-400B-BB93-887CAA3839D0}" name="Name" dataDxfId="24"/>
    <tableColumn id="4" xr3:uid="{5458E6EB-F112-4FF2-BC4B-BFBDE6F7B381}" name="Batting Hand" dataDxfId="23"/>
    <tableColumn id="5" xr3:uid="{327E2505-5553-4E7C-BCE5-E0DD4C4491FA}" name="Bowling Style" dataDxfId="22"/>
    <tableColumn id="6" xr3:uid="{1AB2D405-6847-409B-BA5C-FBA7A0A3737C}" name="Base Value" dataDxfId="21"/>
    <tableColumn id="7" xr3:uid="{8EE370FA-A013-45E1-AB39-87CE787D1901}" name="Sold" dataDxfId="20"/>
    <tableColumn id="8" xr3:uid="{E24A5C4D-EC38-479A-8599-0A34A0B8E57F}" name="Team" dataDxfId="19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BA5BE97-7378-4A76-9F00-26CF4ABD17B0}" name="Unsold_P" displayName="Unsold_P" ref="B2:G18" totalsRowShown="0" headerRowDxfId="18" dataDxfId="16" headerRowBorderDxfId="17" tableBorderDxfId="15">
  <autoFilter ref="B2:G18" xr:uid="{3BA5BE97-7378-4A76-9F00-26CF4ABD17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107AEFF-43DA-4D0F-AF5B-D6B12A5CC48C}" name="Sl No" dataDxfId="14">
      <calculatedColumnFormula>ROWS($B$3:Unsold_P[[#This Row],[Sl No]])-2</calculatedColumnFormula>
    </tableColumn>
    <tableColumn id="2" xr3:uid="{7BEB0402-85D6-4CAE-B4ED-5B938D33685C}" name="Group" dataDxfId="13"/>
    <tableColumn id="3" xr3:uid="{E6AAF4C9-7914-400E-81DF-91A554112402}" name="Name" dataDxfId="12"/>
    <tableColumn id="4" xr3:uid="{31EF4BA6-5CF4-4E17-A283-73CD0B35A322}" name="Batting Hand" dataDxfId="11"/>
    <tableColumn id="5" xr3:uid="{8B345E49-3B06-46BD-B183-9DB353DF1CE6}" name="Bowling Style" dataDxfId="10"/>
    <tableColumn id="6" xr3:uid="{5238FE6E-367F-4F30-A8E5-D1529E063A69}" name="Base Value" dataDxfId="9"/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8A4D48-3FE8-436C-A275-FE7E32A67271}" name="PA_P" displayName="PA_P" ref="B12:D37" totalsRowShown="0" headerRowDxfId="8">
  <autoFilter ref="B12:D37" xr:uid="{2B8A4D48-3FE8-436C-A275-FE7E32A67271}">
    <filterColumn colId="0" hiddenButton="1"/>
    <filterColumn colId="1" hiddenButton="1"/>
    <filterColumn colId="2" hiddenButton="1"/>
  </autoFilter>
  <tableColumns count="3">
    <tableColumn id="1" xr3:uid="{64529239-75BF-4E82-8585-895FB5FC269B}" name="SL NO" dataDxfId="7">
      <calculatedColumnFormula>ROWS($B$13:PA_P[[#This Row],[SL NO]])-1</calculatedColumnFormula>
    </tableColumn>
    <tableColumn id="2" xr3:uid="{E4F5D888-314F-4B0F-813F-0F2E6DDCA7DF}" name="NAME" dataDxfId="6"/>
    <tableColumn id="4" xr3:uid="{3B7674E4-F339-408A-98D1-0C45A5A39854}" name="VALU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B3ED381-5E10-4FCE-9492-DC9FD8FF7213}" name="PL_P" displayName="PL_P" ref="F12:H37" totalsRowShown="0">
  <autoFilter ref="F12:H37" xr:uid="{BB3ED381-5E10-4FCE-9492-DC9FD8FF7213}">
    <filterColumn colId="0" hiddenButton="1"/>
    <filterColumn colId="1" hiddenButton="1"/>
    <filterColumn colId="2" hiddenButton="1"/>
  </autoFilter>
  <tableColumns count="3">
    <tableColumn id="1" xr3:uid="{6BF6548C-005F-4C44-A552-DF15B481433A}" name="SL NO" dataDxfId="5">
      <calculatedColumnFormula>ROWS($F$13:PL_P[[#This Row],[SL NO]])-1</calculatedColumnFormula>
    </tableColumn>
    <tableColumn id="2" xr3:uid="{6DD82491-726C-4461-98B8-951ADA38D2CD}" name="NAME" dataDxfId="4"/>
    <tableColumn id="3" xr3:uid="{8F44301B-7E89-4652-BD81-FEA4BA1354C6}" name="VALU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1E8F405-21E5-4F47-AF52-66F9BE769ED7}" name="PT_P" displayName="PT_P" ref="J12:L37" totalsRowShown="0">
  <autoFilter ref="J12:L37" xr:uid="{91E8F405-21E5-4F47-AF52-66F9BE769ED7}">
    <filterColumn colId="0" hiddenButton="1"/>
    <filterColumn colId="1" hiddenButton="1"/>
    <filterColumn colId="2" hiddenButton="1"/>
  </autoFilter>
  <tableColumns count="3">
    <tableColumn id="1" xr3:uid="{C28091DF-33AD-4995-8114-85FC9F77D741}" name="SL NO" dataDxfId="3">
      <calculatedColumnFormula>ROWS($J$13:PT_P[[#This Row],[SL NO]])-1</calculatedColumnFormula>
    </tableColumn>
    <tableColumn id="2" xr3:uid="{82A28AA5-7ECD-41FE-99C0-6C4BB5201A8F}" name="NAME" dataDxfId="2"/>
    <tableColumn id="3" xr3:uid="{EAFC583A-5F3F-46B4-9A93-6B2207000A3D}" name="VALU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BADB302-9421-49FF-A544-09B7E3025A0F}" name="PW_P" displayName="PW_P" ref="N12:P37" totalsRowShown="0">
  <autoFilter ref="N12:P37" xr:uid="{BBADB302-9421-49FF-A544-09B7E3025A0F}">
    <filterColumn colId="0" hiddenButton="1"/>
    <filterColumn colId="1" hiddenButton="1"/>
    <filterColumn colId="2" hiddenButton="1"/>
  </autoFilter>
  <tableColumns count="3">
    <tableColumn id="1" xr3:uid="{63326227-962D-4BA0-854E-66F9B9D63EF2}" name="SL NO" dataDxfId="1">
      <calculatedColumnFormula>ROWS($N$13:PW_P[[#This Row],[SL NO]])-1</calculatedColumnFormula>
    </tableColumn>
    <tableColumn id="2" xr3:uid="{914C84B9-67E4-44A9-9C63-52E4C0037771}" name="NAME" dataDxfId="0"/>
    <tableColumn id="3" xr3:uid="{EAC63C5D-E546-47AC-B1EB-0DBC69720EA9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43"/>
  <sheetViews>
    <sheetView showGridLines="0" showRowColHeaders="0" topLeftCell="A18" zoomScaleNormal="100" workbookViewId="0">
      <selection activeCell="P63" sqref="P63"/>
    </sheetView>
  </sheetViews>
  <sheetFormatPr defaultRowHeight="15.05" x14ac:dyDescent="0.3"/>
  <cols>
    <col min="1" max="1" width="3.5546875" customWidth="1"/>
    <col min="7" max="7" width="8.21875" customWidth="1"/>
    <col min="13" max="13" width="3.109375" customWidth="1"/>
    <col min="14" max="14" width="2.6640625" customWidth="1"/>
    <col min="15" max="15" width="12.33203125" customWidth="1"/>
    <col min="16" max="16" width="11.88671875" customWidth="1"/>
    <col min="17" max="17" width="7.33203125" customWidth="1"/>
    <col min="18" max="18" width="2.88671875" customWidth="1"/>
    <col min="19" max="19" width="3.33203125" customWidth="1"/>
    <col min="23" max="23" width="5.6640625" customWidth="1"/>
    <col min="27" max="27" width="3.44140625" customWidth="1"/>
    <col min="30" max="30" width="12.109375" customWidth="1"/>
    <col min="31" max="31" width="16.109375" customWidth="1"/>
    <col min="32" max="32" width="11.44140625" customWidth="1"/>
  </cols>
  <sheetData>
    <row r="1" spans="1:32" ht="19.8" customHeight="1" thickBot="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D1" s="1"/>
    </row>
    <row r="2" spans="1:32" x14ac:dyDescent="0.3">
      <c r="A2" s="4"/>
      <c r="B2" s="22"/>
      <c r="C2" s="23"/>
      <c r="D2" s="23"/>
      <c r="E2" s="132" t="s">
        <v>102</v>
      </c>
      <c r="F2" s="132"/>
      <c r="G2" s="132"/>
      <c r="H2" s="132"/>
      <c r="I2" s="132"/>
      <c r="J2" s="119"/>
      <c r="K2" s="119"/>
      <c r="L2" s="120"/>
      <c r="M2" s="4"/>
      <c r="N2" s="101" t="s">
        <v>18</v>
      </c>
      <c r="O2" s="102"/>
      <c r="P2" s="102"/>
      <c r="Q2" s="103"/>
      <c r="R2" s="4"/>
      <c r="S2" s="14"/>
      <c r="T2" s="15"/>
      <c r="U2" s="15"/>
      <c r="V2" s="15"/>
      <c r="W2" s="15"/>
      <c r="X2" s="15"/>
      <c r="Y2" s="15"/>
      <c r="Z2" s="15"/>
      <c r="AA2" s="16"/>
      <c r="AB2" s="4"/>
      <c r="AD2" s="61" t="s">
        <v>14</v>
      </c>
      <c r="AE2" s="1" t="s">
        <v>17</v>
      </c>
      <c r="AF2" s="60" t="s">
        <v>37</v>
      </c>
    </row>
    <row r="3" spans="1:32" ht="14.4" customHeight="1" x14ac:dyDescent="0.3">
      <c r="A3" s="4"/>
      <c r="B3" s="130" t="s">
        <v>46</v>
      </c>
      <c r="C3" s="131"/>
      <c r="D3" s="25"/>
      <c r="E3" s="133"/>
      <c r="F3" s="133"/>
      <c r="G3" s="133"/>
      <c r="H3" s="133"/>
      <c r="I3" s="133"/>
      <c r="J3" s="98">
        <f>AD3</f>
        <v>1.7361111111111112E-4</v>
      </c>
      <c r="K3" s="99"/>
      <c r="L3" s="100"/>
      <c r="M3" s="4"/>
      <c r="N3" s="104"/>
      <c r="O3" s="105"/>
      <c r="P3" s="105"/>
      <c r="Q3" s="106"/>
      <c r="R3" s="4"/>
      <c r="S3" s="17"/>
      <c r="T3" s="95"/>
      <c r="U3" s="95"/>
      <c r="V3" s="95"/>
      <c r="W3" s="95"/>
      <c r="X3" s="95"/>
      <c r="Y3" s="96"/>
      <c r="Z3" s="96"/>
      <c r="AA3" s="18"/>
      <c r="AB3" s="4"/>
      <c r="AD3" s="62">
        <v>1.7361111111111112E-4</v>
      </c>
      <c r="AE3" s="40">
        <v>1.7361111111111112E-4</v>
      </c>
      <c r="AF3" s="41">
        <v>6.9444444444444444E-5</v>
      </c>
    </row>
    <row r="4" spans="1:32" ht="14.4" customHeight="1" x14ac:dyDescent="0.3">
      <c r="A4" s="4"/>
      <c r="B4" s="130"/>
      <c r="C4" s="131"/>
      <c r="D4" s="25"/>
      <c r="E4" s="133"/>
      <c r="F4" s="133"/>
      <c r="G4" s="133"/>
      <c r="H4" s="133"/>
      <c r="I4" s="133"/>
      <c r="J4" s="99"/>
      <c r="K4" s="99"/>
      <c r="L4" s="100"/>
      <c r="M4" s="4"/>
      <c r="N4" s="104"/>
      <c r="O4" s="105"/>
      <c r="P4" s="105"/>
      <c r="Q4" s="106"/>
      <c r="R4" s="4"/>
      <c r="S4" s="17"/>
      <c r="T4" s="95"/>
      <c r="U4" s="95"/>
      <c r="V4" s="95"/>
      <c r="W4" s="95"/>
      <c r="X4" s="95"/>
      <c r="Y4" s="96"/>
      <c r="Z4" s="96"/>
      <c r="AA4" s="18"/>
      <c r="AB4" s="4"/>
    </row>
    <row r="5" spans="1:32" ht="15.05" customHeight="1" thickBot="1" x14ac:dyDescent="0.35">
      <c r="A5" s="4"/>
      <c r="B5" s="130"/>
      <c r="C5" s="131"/>
      <c r="D5" s="30"/>
      <c r="E5" s="134" t="s">
        <v>45</v>
      </c>
      <c r="F5" s="134"/>
      <c r="G5" s="134"/>
      <c r="H5" s="134"/>
      <c r="I5" s="134"/>
      <c r="J5" s="99"/>
      <c r="K5" s="99"/>
      <c r="L5" s="100"/>
      <c r="M5" s="4"/>
      <c r="N5" s="107"/>
      <c r="O5" s="108"/>
      <c r="P5" s="108"/>
      <c r="Q5" s="109"/>
      <c r="R5" s="4"/>
      <c r="S5" s="17"/>
      <c r="T5" s="95"/>
      <c r="U5" s="95"/>
      <c r="V5" s="95"/>
      <c r="W5" s="95"/>
      <c r="X5" s="95"/>
      <c r="Y5" s="96"/>
      <c r="Z5" s="96"/>
      <c r="AA5" s="18"/>
      <c r="AB5" s="4"/>
    </row>
    <row r="6" spans="1:32" ht="14.4" customHeight="1" x14ac:dyDescent="0.3">
      <c r="A6" s="4"/>
      <c r="B6" s="130"/>
      <c r="C6" s="131"/>
      <c r="D6" s="30"/>
      <c r="E6" s="134"/>
      <c r="F6" s="134"/>
      <c r="G6" s="134"/>
      <c r="H6" s="134"/>
      <c r="I6" s="134"/>
      <c r="J6" s="99"/>
      <c r="K6" s="99"/>
      <c r="L6" s="100"/>
      <c r="M6" s="4"/>
      <c r="N6" s="110">
        <v>20</v>
      </c>
      <c r="O6" s="111"/>
      <c r="P6" s="111"/>
      <c r="Q6" s="112"/>
      <c r="R6" s="4"/>
      <c r="S6" s="17"/>
      <c r="T6" s="95"/>
      <c r="U6" s="95"/>
      <c r="V6" s="95"/>
      <c r="W6" s="95"/>
      <c r="X6" s="95"/>
      <c r="Y6" s="96"/>
      <c r="Z6" s="96"/>
      <c r="AA6" s="18"/>
      <c r="AB6" s="4"/>
    </row>
    <row r="7" spans="1:32" ht="14.4" customHeight="1" x14ac:dyDescent="0.35">
      <c r="A7" s="4"/>
      <c r="B7" s="130"/>
      <c r="C7" s="131"/>
      <c r="D7" s="30"/>
      <c r="E7" s="134"/>
      <c r="F7" s="134"/>
      <c r="G7" s="134"/>
      <c r="H7" s="134"/>
      <c r="I7" s="134"/>
      <c r="J7" s="99"/>
      <c r="K7" s="99"/>
      <c r="L7" s="100"/>
      <c r="M7" s="4"/>
      <c r="N7" s="113"/>
      <c r="O7" s="114"/>
      <c r="P7" s="114"/>
      <c r="Q7" s="115"/>
      <c r="R7" s="4"/>
      <c r="S7" s="17"/>
      <c r="T7" s="95"/>
      <c r="U7" s="95"/>
      <c r="V7" s="95"/>
      <c r="W7" s="95"/>
      <c r="X7" s="95"/>
      <c r="Y7" s="96"/>
      <c r="Z7" s="96"/>
      <c r="AA7" s="18"/>
      <c r="AB7" s="4"/>
      <c r="AD7" s="88" t="s">
        <v>22</v>
      </c>
      <c r="AE7" s="88"/>
      <c r="AF7" s="71">
        <v>865</v>
      </c>
    </row>
    <row r="8" spans="1:32" ht="14.4" customHeight="1" x14ac:dyDescent="0.35">
      <c r="A8" s="4"/>
      <c r="B8" s="24"/>
      <c r="C8" s="25"/>
      <c r="D8" s="25"/>
      <c r="E8" s="134"/>
      <c r="F8" s="134"/>
      <c r="G8" s="134"/>
      <c r="H8" s="134"/>
      <c r="I8" s="134"/>
      <c r="J8" s="99"/>
      <c r="K8" s="99"/>
      <c r="L8" s="100"/>
      <c r="M8" s="4"/>
      <c r="N8" s="113"/>
      <c r="O8" s="114"/>
      <c r="P8" s="114"/>
      <c r="Q8" s="115"/>
      <c r="R8" s="4"/>
      <c r="S8" s="17"/>
      <c r="T8" s="95"/>
      <c r="U8" s="95"/>
      <c r="V8" s="95"/>
      <c r="W8" s="95"/>
      <c r="X8" s="95"/>
      <c r="Y8" s="96"/>
      <c r="Z8" s="96"/>
      <c r="AA8" s="18"/>
      <c r="AB8" s="4"/>
      <c r="AD8" s="88" t="s">
        <v>23</v>
      </c>
      <c r="AE8" s="88"/>
      <c r="AF8" s="71">
        <v>900</v>
      </c>
    </row>
    <row r="9" spans="1:32" ht="14.4" customHeight="1" x14ac:dyDescent="0.35">
      <c r="A9" s="4"/>
      <c r="B9" s="24"/>
      <c r="C9" s="25"/>
      <c r="D9" s="25"/>
      <c r="E9" s="25"/>
      <c r="F9" s="25"/>
      <c r="G9" s="25"/>
      <c r="H9" s="25"/>
      <c r="I9" s="25"/>
      <c r="J9" s="25"/>
      <c r="K9" s="25"/>
      <c r="L9" s="26"/>
      <c r="M9" s="4"/>
      <c r="N9" s="113"/>
      <c r="O9" s="114"/>
      <c r="P9" s="114"/>
      <c r="Q9" s="115"/>
      <c r="R9" s="4"/>
      <c r="S9" s="17"/>
      <c r="T9" s="95"/>
      <c r="U9" s="95"/>
      <c r="V9" s="95"/>
      <c r="W9" s="95"/>
      <c r="X9" s="95"/>
      <c r="Y9" s="96"/>
      <c r="Z9" s="96"/>
      <c r="AA9" s="18"/>
      <c r="AB9" s="4"/>
      <c r="AD9" s="88" t="s">
        <v>21</v>
      </c>
      <c r="AE9" s="88"/>
      <c r="AF9" s="71">
        <v>890</v>
      </c>
    </row>
    <row r="10" spans="1:32" ht="14.4" customHeight="1" x14ac:dyDescent="0.3">
      <c r="A10" s="4"/>
      <c r="B10" s="127" t="s">
        <v>102</v>
      </c>
      <c r="C10" s="128"/>
      <c r="D10" s="128"/>
      <c r="E10" s="128"/>
      <c r="F10" s="128"/>
      <c r="G10" s="128"/>
      <c r="H10" s="128"/>
      <c r="I10" s="128"/>
      <c r="J10" s="128"/>
      <c r="K10" s="128"/>
      <c r="L10" s="129"/>
      <c r="M10" s="4"/>
      <c r="N10" s="113"/>
      <c r="O10" s="114"/>
      <c r="P10" s="114"/>
      <c r="Q10" s="115"/>
      <c r="R10" s="4"/>
      <c r="S10" s="17"/>
      <c r="T10" s="95"/>
      <c r="U10" s="95"/>
      <c r="V10" s="95"/>
      <c r="W10" s="95"/>
      <c r="X10" s="95"/>
      <c r="Y10" s="96"/>
      <c r="Z10" s="96"/>
      <c r="AA10" s="18"/>
      <c r="AB10" s="4"/>
      <c r="AC10" s="55"/>
      <c r="AD10" s="89" t="s">
        <v>24</v>
      </c>
      <c r="AE10" s="89"/>
      <c r="AF10" s="71">
        <v>890</v>
      </c>
    </row>
    <row r="11" spans="1:32" ht="19.149999999999999" customHeight="1" x14ac:dyDescent="0.3">
      <c r="A11" s="4"/>
      <c r="B11" s="127"/>
      <c r="C11" s="128"/>
      <c r="D11" s="128"/>
      <c r="E11" s="128"/>
      <c r="F11" s="128"/>
      <c r="G11" s="128"/>
      <c r="H11" s="128"/>
      <c r="I11" s="128"/>
      <c r="J11" s="128"/>
      <c r="K11" s="128"/>
      <c r="L11" s="129"/>
      <c r="M11" s="4"/>
      <c r="N11" s="113"/>
      <c r="O11" s="114"/>
      <c r="P11" s="114"/>
      <c r="Q11" s="115"/>
      <c r="R11" s="4"/>
      <c r="S11" s="17"/>
      <c r="T11" s="3"/>
      <c r="U11" s="3"/>
      <c r="V11" s="3"/>
      <c r="W11" s="3"/>
      <c r="X11" s="3"/>
      <c r="Y11" s="3"/>
      <c r="Z11" s="3"/>
      <c r="AA11" s="18"/>
      <c r="AB11" s="4"/>
      <c r="AC11" s="55"/>
      <c r="AD11" s="55"/>
      <c r="AE11" s="55"/>
    </row>
    <row r="12" spans="1:32" x14ac:dyDescent="0.3">
      <c r="A12" s="4"/>
      <c r="B12" s="127"/>
      <c r="C12" s="128"/>
      <c r="D12" s="128"/>
      <c r="E12" s="128"/>
      <c r="F12" s="128"/>
      <c r="G12" s="128"/>
      <c r="H12" s="128"/>
      <c r="I12" s="128"/>
      <c r="J12" s="128"/>
      <c r="K12" s="128"/>
      <c r="L12" s="129"/>
      <c r="M12" s="4"/>
      <c r="N12" s="113"/>
      <c r="O12" s="114"/>
      <c r="P12" s="114"/>
      <c r="Q12" s="115"/>
      <c r="R12" s="4"/>
      <c r="S12" s="17"/>
      <c r="T12" s="94" t="s">
        <v>6</v>
      </c>
      <c r="U12" s="94"/>
      <c r="V12" s="94"/>
      <c r="W12" s="3"/>
      <c r="X12" s="94" t="s">
        <v>7</v>
      </c>
      <c r="Y12" s="94"/>
      <c r="Z12" s="94"/>
      <c r="AA12" s="18"/>
      <c r="AB12" s="4"/>
      <c r="AC12" s="55"/>
      <c r="AD12" s="55"/>
      <c r="AE12" s="55"/>
    </row>
    <row r="13" spans="1:32" x14ac:dyDescent="0.3">
      <c r="A13" s="4"/>
      <c r="B13" s="127"/>
      <c r="C13" s="128"/>
      <c r="D13" s="128"/>
      <c r="E13" s="128"/>
      <c r="F13" s="128"/>
      <c r="G13" s="128"/>
      <c r="H13" s="128"/>
      <c r="I13" s="128"/>
      <c r="J13" s="128"/>
      <c r="K13" s="128"/>
      <c r="L13" s="129"/>
      <c r="M13" s="4"/>
      <c r="N13" s="113"/>
      <c r="O13" s="114"/>
      <c r="P13" s="114"/>
      <c r="Q13" s="115"/>
      <c r="R13" s="4"/>
      <c r="S13" s="17"/>
      <c r="T13" s="94"/>
      <c r="U13" s="94"/>
      <c r="V13" s="94"/>
      <c r="W13" s="3"/>
      <c r="X13" s="94"/>
      <c r="Y13" s="94"/>
      <c r="Z13" s="94"/>
      <c r="AA13" s="18"/>
      <c r="AB13" s="4"/>
    </row>
    <row r="14" spans="1:32" x14ac:dyDescent="0.3">
      <c r="A14" s="4"/>
      <c r="B14" s="127"/>
      <c r="C14" s="128"/>
      <c r="D14" s="128"/>
      <c r="E14" s="128"/>
      <c r="F14" s="128"/>
      <c r="G14" s="128"/>
      <c r="H14" s="128"/>
      <c r="I14" s="128"/>
      <c r="J14" s="128"/>
      <c r="K14" s="128"/>
      <c r="L14" s="129"/>
      <c r="M14" s="4"/>
      <c r="N14" s="113"/>
      <c r="O14" s="114"/>
      <c r="P14" s="114"/>
      <c r="Q14" s="115"/>
      <c r="R14" s="4"/>
      <c r="S14" s="17"/>
      <c r="T14" s="94"/>
      <c r="U14" s="94"/>
      <c r="V14" s="94"/>
      <c r="W14" s="3"/>
      <c r="X14" s="94"/>
      <c r="Y14" s="94"/>
      <c r="Z14" s="94"/>
      <c r="AA14" s="18"/>
      <c r="AB14" s="4"/>
    </row>
    <row r="15" spans="1:32" ht="15.75" thickBot="1" x14ac:dyDescent="0.35">
      <c r="A15" s="4"/>
      <c r="B15" s="127"/>
      <c r="C15" s="128"/>
      <c r="D15" s="128"/>
      <c r="E15" s="128"/>
      <c r="F15" s="128"/>
      <c r="G15" s="128"/>
      <c r="H15" s="128"/>
      <c r="I15" s="128"/>
      <c r="J15" s="128"/>
      <c r="K15" s="128"/>
      <c r="L15" s="129"/>
      <c r="M15" s="4"/>
      <c r="N15" s="116"/>
      <c r="O15" s="117"/>
      <c r="P15" s="117"/>
      <c r="Q15" s="118"/>
      <c r="R15" s="4"/>
      <c r="S15" s="19"/>
      <c r="T15" s="20"/>
      <c r="U15" s="20"/>
      <c r="V15" s="20"/>
      <c r="W15" s="20"/>
      <c r="X15" s="20"/>
      <c r="Y15" s="20"/>
      <c r="Z15" s="20"/>
      <c r="AA15" s="21"/>
      <c r="AB15" s="4"/>
    </row>
    <row r="16" spans="1:32" ht="15.75" thickBot="1" x14ac:dyDescent="0.35">
      <c r="A16" s="4"/>
      <c r="B16" s="127"/>
      <c r="C16" s="128"/>
      <c r="D16" s="128"/>
      <c r="E16" s="128"/>
      <c r="F16" s="128"/>
      <c r="G16" s="128"/>
      <c r="H16" s="128"/>
      <c r="I16" s="128"/>
      <c r="J16" s="128"/>
      <c r="K16" s="128"/>
      <c r="L16" s="129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</row>
    <row r="17" spans="1:31" ht="15.75" thickBot="1" x14ac:dyDescent="0.35">
      <c r="A17" s="4"/>
      <c r="B17" s="127"/>
      <c r="C17" s="128"/>
      <c r="D17" s="128"/>
      <c r="E17" s="128"/>
      <c r="F17" s="128"/>
      <c r="G17" s="128"/>
      <c r="H17" s="128"/>
      <c r="I17" s="128"/>
      <c r="J17" s="128"/>
      <c r="K17" s="128"/>
      <c r="L17" s="129"/>
      <c r="M17" s="4"/>
      <c r="N17" s="5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7"/>
      <c r="AB17" s="4"/>
    </row>
    <row r="18" spans="1:31" ht="14.4" customHeight="1" x14ac:dyDescent="0.3">
      <c r="A18" s="4"/>
      <c r="B18" s="127"/>
      <c r="C18" s="128"/>
      <c r="D18" s="128"/>
      <c r="E18" s="128"/>
      <c r="F18" s="128"/>
      <c r="G18" s="128"/>
      <c r="H18" s="128"/>
      <c r="I18" s="128"/>
      <c r="J18" s="128"/>
      <c r="K18" s="128"/>
      <c r="L18" s="129"/>
      <c r="M18" s="4"/>
      <c r="N18" s="8"/>
      <c r="O18" s="121" t="s">
        <v>8</v>
      </c>
      <c r="P18" s="122"/>
      <c r="Q18" s="122"/>
      <c r="R18" s="122"/>
      <c r="S18" s="123"/>
      <c r="T18" s="9"/>
      <c r="U18" s="92"/>
      <c r="V18" s="92"/>
      <c r="W18" s="92"/>
      <c r="X18" s="92"/>
      <c r="Y18" s="92"/>
      <c r="Z18" s="92"/>
      <c r="AA18" s="10"/>
      <c r="AB18" s="4"/>
    </row>
    <row r="19" spans="1:31" ht="15.05" customHeight="1" thickBot="1" x14ac:dyDescent="0.35">
      <c r="A19" s="4"/>
      <c r="B19" s="127"/>
      <c r="C19" s="128"/>
      <c r="D19" s="128"/>
      <c r="E19" s="128"/>
      <c r="F19" s="128"/>
      <c r="G19" s="128"/>
      <c r="H19" s="128"/>
      <c r="I19" s="128"/>
      <c r="J19" s="128"/>
      <c r="K19" s="128"/>
      <c r="L19" s="129"/>
      <c r="M19" s="4"/>
      <c r="N19" s="8"/>
      <c r="O19" s="124"/>
      <c r="P19" s="125"/>
      <c r="Q19" s="125"/>
      <c r="R19" s="125"/>
      <c r="S19" s="126"/>
      <c r="T19" s="9"/>
      <c r="U19" s="92"/>
      <c r="V19" s="92"/>
      <c r="W19" s="92"/>
      <c r="X19" s="92"/>
      <c r="Y19" s="92"/>
      <c r="Z19" s="92"/>
      <c r="AA19" s="10"/>
      <c r="AB19" s="4"/>
    </row>
    <row r="20" spans="1:31" x14ac:dyDescent="0.3">
      <c r="A20" s="4"/>
      <c r="B20" s="127"/>
      <c r="C20" s="128"/>
      <c r="D20" s="128"/>
      <c r="E20" s="128"/>
      <c r="F20" s="128"/>
      <c r="G20" s="128"/>
      <c r="H20" s="128"/>
      <c r="I20" s="128"/>
      <c r="J20" s="128"/>
      <c r="K20" s="128"/>
      <c r="L20" s="129"/>
      <c r="M20" s="4"/>
      <c r="N20" s="8"/>
      <c r="O20" s="9"/>
      <c r="P20" s="9"/>
      <c r="Q20" s="9"/>
      <c r="R20" s="9"/>
      <c r="S20" s="9"/>
      <c r="T20" s="9"/>
      <c r="U20" s="92"/>
      <c r="V20" s="92"/>
      <c r="W20" s="92"/>
      <c r="X20" s="92"/>
      <c r="Y20" s="92"/>
      <c r="Z20" s="92"/>
      <c r="AA20" s="10"/>
      <c r="AB20" s="4"/>
      <c r="AE20" s="2"/>
    </row>
    <row r="21" spans="1:31" x14ac:dyDescent="0.3">
      <c r="A21" s="4"/>
      <c r="B21" s="127"/>
      <c r="C21" s="128"/>
      <c r="D21" s="128"/>
      <c r="E21" s="128"/>
      <c r="F21" s="128"/>
      <c r="G21" s="128"/>
      <c r="H21" s="128"/>
      <c r="I21" s="128"/>
      <c r="J21" s="128"/>
      <c r="K21" s="128"/>
      <c r="L21" s="129"/>
      <c r="M21" s="4"/>
      <c r="N21" s="8"/>
      <c r="O21" s="90" t="s">
        <v>9</v>
      </c>
      <c r="P21" s="90"/>
      <c r="Q21" s="90"/>
      <c r="R21" s="90"/>
      <c r="S21" s="90"/>
      <c r="T21" s="9"/>
      <c r="U21" s="9"/>
      <c r="V21" s="9"/>
      <c r="W21" s="9"/>
      <c r="X21" s="9"/>
      <c r="Y21" s="9"/>
      <c r="Z21" s="9"/>
      <c r="AA21" s="10"/>
      <c r="AB21" s="4"/>
    </row>
    <row r="22" spans="1:31" x14ac:dyDescent="0.3">
      <c r="A22" s="4"/>
      <c r="B22" s="127"/>
      <c r="C22" s="128"/>
      <c r="D22" s="128"/>
      <c r="E22" s="128"/>
      <c r="F22" s="128"/>
      <c r="G22" s="128"/>
      <c r="H22" s="128"/>
      <c r="I22" s="128"/>
      <c r="J22" s="128"/>
      <c r="K22" s="128"/>
      <c r="L22" s="129"/>
      <c r="M22" s="4"/>
      <c r="N22" s="8"/>
      <c r="O22" s="90"/>
      <c r="P22" s="90"/>
      <c r="Q22" s="90"/>
      <c r="R22" s="90"/>
      <c r="S22" s="90"/>
      <c r="T22" s="9"/>
      <c r="U22" s="9"/>
      <c r="V22" s="9"/>
      <c r="W22" s="9"/>
      <c r="X22" s="9"/>
      <c r="Y22" s="9"/>
      <c r="Z22" s="9"/>
      <c r="AA22" s="10"/>
      <c r="AB22" s="4"/>
    </row>
    <row r="23" spans="1:31" ht="14.4" customHeight="1" x14ac:dyDescent="0.3">
      <c r="A23" s="4"/>
      <c r="B23" s="127"/>
      <c r="C23" s="128"/>
      <c r="D23" s="128"/>
      <c r="E23" s="128"/>
      <c r="F23" s="128"/>
      <c r="G23" s="128"/>
      <c r="H23" s="128"/>
      <c r="I23" s="128"/>
      <c r="J23" s="128"/>
      <c r="K23" s="128"/>
      <c r="L23" s="129"/>
      <c r="M23" s="4"/>
      <c r="N23" s="8"/>
      <c r="O23" s="90"/>
      <c r="P23" s="90"/>
      <c r="Q23" s="90"/>
      <c r="R23" s="90"/>
      <c r="S23" s="90"/>
      <c r="T23" s="9"/>
      <c r="U23" s="93" t="s">
        <v>13</v>
      </c>
      <c r="V23" s="93"/>
      <c r="W23" s="93"/>
      <c r="X23" s="93"/>
      <c r="Y23" s="39"/>
      <c r="Z23" s="39"/>
      <c r="AA23" s="10"/>
      <c r="AB23" s="4"/>
    </row>
    <row r="24" spans="1:31" ht="14.4" customHeight="1" x14ac:dyDescent="0.3">
      <c r="A24" s="4"/>
      <c r="B24" s="127"/>
      <c r="C24" s="128"/>
      <c r="D24" s="128"/>
      <c r="E24" s="128"/>
      <c r="F24" s="128"/>
      <c r="G24" s="128"/>
      <c r="H24" s="128"/>
      <c r="I24" s="128"/>
      <c r="J24" s="128"/>
      <c r="K24" s="128"/>
      <c r="L24" s="129"/>
      <c r="M24" s="4"/>
      <c r="N24" s="8"/>
      <c r="O24" s="90"/>
      <c r="P24" s="90"/>
      <c r="Q24" s="90"/>
      <c r="R24" s="90"/>
      <c r="S24" s="90"/>
      <c r="T24" s="9"/>
      <c r="U24" s="93"/>
      <c r="V24" s="93"/>
      <c r="W24" s="93"/>
      <c r="X24" s="93"/>
      <c r="Y24" s="39"/>
      <c r="Z24" s="39"/>
      <c r="AA24" s="10"/>
      <c r="AB24" s="4"/>
    </row>
    <row r="25" spans="1:31" x14ac:dyDescent="0.3">
      <c r="A25" s="4"/>
      <c r="B25" s="127"/>
      <c r="C25" s="128"/>
      <c r="D25" s="128"/>
      <c r="E25" s="128"/>
      <c r="F25" s="128"/>
      <c r="G25" s="128"/>
      <c r="H25" s="128"/>
      <c r="I25" s="128"/>
      <c r="J25" s="128"/>
      <c r="K25" s="128"/>
      <c r="L25" s="129"/>
      <c r="M25" s="4"/>
      <c r="N25" s="8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10"/>
      <c r="AB25" s="4"/>
    </row>
    <row r="26" spans="1:31" x14ac:dyDescent="0.3">
      <c r="A26" s="4"/>
      <c r="B26" s="24"/>
      <c r="C26" s="25"/>
      <c r="D26" s="25"/>
      <c r="E26" s="25"/>
      <c r="F26" s="25"/>
      <c r="G26" s="25"/>
      <c r="H26" s="25"/>
      <c r="I26" s="25"/>
      <c r="J26" s="25"/>
      <c r="K26" s="25"/>
      <c r="L26" s="26"/>
      <c r="M26" s="4"/>
      <c r="N26" s="8"/>
      <c r="O26" s="90" t="s">
        <v>10</v>
      </c>
      <c r="P26" s="90"/>
      <c r="Q26" s="90"/>
      <c r="R26" s="90"/>
      <c r="S26" s="90"/>
      <c r="T26" s="9"/>
      <c r="U26" s="9"/>
      <c r="V26" s="9"/>
      <c r="W26" s="9"/>
      <c r="X26" s="9"/>
      <c r="Y26" s="9"/>
      <c r="Z26" s="9"/>
      <c r="AA26" s="10"/>
      <c r="AB26" s="4"/>
    </row>
    <row r="27" spans="1:31" x14ac:dyDescent="0.3">
      <c r="A27" s="4"/>
      <c r="B27" s="24"/>
      <c r="C27" s="87" t="s">
        <v>3</v>
      </c>
      <c r="D27" s="87"/>
      <c r="E27" s="87"/>
      <c r="F27" s="87"/>
      <c r="G27" s="25"/>
      <c r="H27" s="87" t="s">
        <v>4</v>
      </c>
      <c r="I27" s="87"/>
      <c r="J27" s="87"/>
      <c r="K27" s="87"/>
      <c r="L27" s="26"/>
      <c r="M27" s="4"/>
      <c r="N27" s="8"/>
      <c r="O27" s="90"/>
      <c r="P27" s="90"/>
      <c r="Q27" s="90"/>
      <c r="R27" s="90"/>
      <c r="S27" s="90"/>
      <c r="T27" s="9"/>
      <c r="U27" s="90"/>
      <c r="V27" s="90"/>
      <c r="W27" s="91"/>
      <c r="X27" s="91"/>
      <c r="Y27" s="90"/>
      <c r="Z27" s="90"/>
      <c r="AA27" s="10"/>
      <c r="AB27" s="4"/>
    </row>
    <row r="28" spans="1:31" x14ac:dyDescent="0.3">
      <c r="A28" s="4"/>
      <c r="B28" s="24"/>
      <c r="C28" s="87"/>
      <c r="D28" s="87"/>
      <c r="E28" s="87"/>
      <c r="F28" s="87"/>
      <c r="G28" s="25"/>
      <c r="H28" s="87"/>
      <c r="I28" s="87"/>
      <c r="J28" s="87"/>
      <c r="K28" s="87"/>
      <c r="L28" s="26"/>
      <c r="M28" s="4"/>
      <c r="N28" s="8"/>
      <c r="O28" s="90"/>
      <c r="P28" s="90"/>
      <c r="Q28" s="90"/>
      <c r="R28" s="90"/>
      <c r="S28" s="90"/>
      <c r="T28" s="9"/>
      <c r="U28" s="90"/>
      <c r="V28" s="90"/>
      <c r="W28" s="91"/>
      <c r="X28" s="91"/>
      <c r="Y28" s="90"/>
      <c r="Z28" s="90"/>
      <c r="AA28" s="10"/>
      <c r="AB28" s="4"/>
    </row>
    <row r="29" spans="1:31" x14ac:dyDescent="0.3">
      <c r="A29" s="4"/>
      <c r="B29" s="24"/>
      <c r="C29" s="25"/>
      <c r="D29" s="25"/>
      <c r="E29" s="25"/>
      <c r="F29" s="25"/>
      <c r="G29" s="25"/>
      <c r="H29" s="25"/>
      <c r="I29" s="25"/>
      <c r="J29" s="25"/>
      <c r="K29" s="25"/>
      <c r="L29" s="26"/>
      <c r="M29" s="4"/>
      <c r="N29" s="8"/>
      <c r="O29" s="90"/>
      <c r="P29" s="90"/>
      <c r="Q29" s="90"/>
      <c r="R29" s="90"/>
      <c r="S29" s="90"/>
      <c r="T29" s="9"/>
      <c r="U29" s="90"/>
      <c r="V29" s="90"/>
      <c r="W29" s="9"/>
      <c r="X29" s="9"/>
      <c r="Y29" s="90"/>
      <c r="Z29" s="90"/>
      <c r="AA29" s="10"/>
      <c r="AB29" s="4"/>
    </row>
    <row r="30" spans="1:31" ht="14.4" customHeight="1" x14ac:dyDescent="0.3">
      <c r="A30" s="4"/>
      <c r="B30" s="24"/>
      <c r="C30" s="97" t="s">
        <v>48</v>
      </c>
      <c r="D30" s="97"/>
      <c r="E30" s="97"/>
      <c r="F30" s="97"/>
      <c r="G30" s="25"/>
      <c r="H30" s="97">
        <v>0</v>
      </c>
      <c r="I30" s="97"/>
      <c r="J30" s="97"/>
      <c r="K30" s="97"/>
      <c r="L30" s="26"/>
      <c r="M30" s="4"/>
      <c r="N30" s="8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10"/>
      <c r="AB30" s="4"/>
    </row>
    <row r="31" spans="1:31" ht="15.05" customHeight="1" x14ac:dyDescent="0.3">
      <c r="A31" s="4"/>
      <c r="B31" s="24"/>
      <c r="C31" s="97"/>
      <c r="D31" s="97"/>
      <c r="E31" s="97"/>
      <c r="F31" s="97"/>
      <c r="G31" s="25"/>
      <c r="H31" s="97"/>
      <c r="I31" s="97"/>
      <c r="J31" s="97"/>
      <c r="K31" s="97"/>
      <c r="L31" s="26"/>
      <c r="M31" s="4"/>
      <c r="N31" s="8"/>
      <c r="O31" s="90" t="s">
        <v>11</v>
      </c>
      <c r="P31" s="90"/>
      <c r="Q31" s="90"/>
      <c r="R31" s="90"/>
      <c r="S31" s="90"/>
      <c r="T31" s="9"/>
      <c r="U31" s="9"/>
      <c r="V31" s="9"/>
      <c r="W31" s="90"/>
      <c r="X31" s="90"/>
      <c r="Y31" s="9"/>
      <c r="Z31" s="9"/>
      <c r="AA31" s="10"/>
      <c r="AB31" s="4"/>
    </row>
    <row r="32" spans="1:31" ht="15.75" thickBot="1" x14ac:dyDescent="0.35">
      <c r="A32" s="4"/>
      <c r="B32" s="24"/>
      <c r="C32" s="25"/>
      <c r="D32" s="25"/>
      <c r="E32" s="25"/>
      <c r="F32" s="25"/>
      <c r="G32" s="25"/>
      <c r="H32" s="25"/>
      <c r="I32" s="25"/>
      <c r="J32" s="25"/>
      <c r="K32" s="25"/>
      <c r="L32" s="26"/>
      <c r="M32" s="4"/>
      <c r="N32" s="8"/>
      <c r="O32" s="90"/>
      <c r="P32" s="90"/>
      <c r="Q32" s="90"/>
      <c r="R32" s="90"/>
      <c r="S32" s="90"/>
      <c r="T32" s="9"/>
      <c r="U32" s="9"/>
      <c r="V32" s="9"/>
      <c r="W32" s="90"/>
      <c r="X32" s="90"/>
      <c r="Y32" s="9"/>
      <c r="Z32" s="9"/>
      <c r="AA32" s="10"/>
      <c r="AB32" s="4"/>
    </row>
    <row r="33" spans="1:28" x14ac:dyDescent="0.3">
      <c r="A33" s="4"/>
      <c r="B33" s="24"/>
      <c r="C33" s="25"/>
      <c r="D33" s="25"/>
      <c r="E33" s="80" t="s">
        <v>5</v>
      </c>
      <c r="F33" s="81"/>
      <c r="G33" s="81"/>
      <c r="H33" s="81"/>
      <c r="I33" s="82"/>
      <c r="J33" s="25"/>
      <c r="K33" s="25"/>
      <c r="L33" s="26"/>
      <c r="M33" s="4"/>
      <c r="N33" s="8"/>
      <c r="O33" s="90"/>
      <c r="P33" s="90"/>
      <c r="Q33" s="90"/>
      <c r="R33" s="90"/>
      <c r="S33" s="90"/>
      <c r="T33" s="9"/>
      <c r="U33" s="9"/>
      <c r="V33" s="9"/>
      <c r="W33" s="9"/>
      <c r="X33" s="9"/>
      <c r="Y33" s="9"/>
      <c r="Z33" s="9"/>
      <c r="AA33" s="10"/>
      <c r="AB33" s="4"/>
    </row>
    <row r="34" spans="1:28" x14ac:dyDescent="0.3">
      <c r="A34" s="4"/>
      <c r="B34" s="24"/>
      <c r="C34" s="25"/>
      <c r="D34" s="25"/>
      <c r="E34" s="83"/>
      <c r="F34" s="84"/>
      <c r="G34" s="84"/>
      <c r="H34" s="84"/>
      <c r="I34" s="85"/>
      <c r="J34" s="25"/>
      <c r="K34" s="25"/>
      <c r="L34" s="26"/>
      <c r="M34" s="4"/>
      <c r="N34" s="8"/>
      <c r="O34" s="90"/>
      <c r="P34" s="90"/>
      <c r="Q34" s="90"/>
      <c r="R34" s="90"/>
      <c r="S34" s="90"/>
      <c r="T34" s="9"/>
      <c r="U34" s="90"/>
      <c r="V34" s="90"/>
      <c r="W34" s="91"/>
      <c r="X34" s="91"/>
      <c r="Y34" s="90"/>
      <c r="Z34" s="90"/>
      <c r="AA34" s="10"/>
      <c r="AB34" s="4"/>
    </row>
    <row r="35" spans="1:28" x14ac:dyDescent="0.3">
      <c r="A35" s="4"/>
      <c r="B35" s="24"/>
      <c r="C35" s="25"/>
      <c r="D35" s="25"/>
      <c r="E35" s="31"/>
      <c r="F35" s="32"/>
      <c r="G35" s="32"/>
      <c r="H35" s="32"/>
      <c r="I35" s="33"/>
      <c r="J35" s="25"/>
      <c r="K35" s="25"/>
      <c r="L35" s="26"/>
      <c r="M35" s="4"/>
      <c r="N35" s="8"/>
      <c r="O35" s="9"/>
      <c r="P35" s="9"/>
      <c r="Q35" s="9"/>
      <c r="R35" s="9"/>
      <c r="S35" s="9"/>
      <c r="T35" s="9"/>
      <c r="U35" s="90"/>
      <c r="V35" s="90"/>
      <c r="W35" s="91"/>
      <c r="X35" s="91"/>
      <c r="Y35" s="90"/>
      <c r="Z35" s="90"/>
      <c r="AA35" s="10"/>
      <c r="AB35" s="4"/>
    </row>
    <row r="36" spans="1:28" x14ac:dyDescent="0.3">
      <c r="A36" s="4"/>
      <c r="B36" s="24"/>
      <c r="C36" s="25"/>
      <c r="D36" s="25"/>
      <c r="E36" s="31"/>
      <c r="F36" s="86">
        <v>20</v>
      </c>
      <c r="G36" s="86"/>
      <c r="H36" s="86"/>
      <c r="I36" s="33"/>
      <c r="J36" s="25"/>
      <c r="K36" s="25"/>
      <c r="L36" s="26"/>
      <c r="M36" s="4"/>
      <c r="N36" s="8"/>
      <c r="O36" s="90" t="s">
        <v>12</v>
      </c>
      <c r="P36" s="90"/>
      <c r="Q36" s="90"/>
      <c r="R36" s="90"/>
      <c r="S36" s="90"/>
      <c r="T36" s="9"/>
      <c r="U36" s="90"/>
      <c r="V36" s="90"/>
      <c r="W36" s="9"/>
      <c r="X36" s="9"/>
      <c r="Y36" s="90"/>
      <c r="Z36" s="90"/>
      <c r="AA36" s="10"/>
      <c r="AB36" s="4"/>
    </row>
    <row r="37" spans="1:28" x14ac:dyDescent="0.3">
      <c r="A37" s="4"/>
      <c r="B37" s="24"/>
      <c r="C37" s="25"/>
      <c r="D37" s="25"/>
      <c r="E37" s="31"/>
      <c r="F37" s="86"/>
      <c r="G37" s="86"/>
      <c r="H37" s="86"/>
      <c r="I37" s="33"/>
      <c r="J37" s="25"/>
      <c r="K37" s="25"/>
      <c r="L37" s="26"/>
      <c r="M37" s="4"/>
      <c r="N37" s="8"/>
      <c r="O37" s="90"/>
      <c r="P37" s="90"/>
      <c r="Q37" s="90"/>
      <c r="R37" s="90"/>
      <c r="S37" s="90"/>
      <c r="T37" s="9"/>
      <c r="U37" s="9"/>
      <c r="V37" s="9"/>
      <c r="W37" s="9"/>
      <c r="X37" s="9"/>
      <c r="Y37" s="9"/>
      <c r="Z37" s="9"/>
      <c r="AA37" s="10"/>
      <c r="AB37" s="4"/>
    </row>
    <row r="38" spans="1:28" x14ac:dyDescent="0.3">
      <c r="A38" s="4"/>
      <c r="B38" s="24"/>
      <c r="C38" s="25"/>
      <c r="D38" s="25"/>
      <c r="E38" s="31"/>
      <c r="F38" s="86"/>
      <c r="G38" s="86"/>
      <c r="H38" s="86"/>
      <c r="I38" s="33"/>
      <c r="J38" s="25"/>
      <c r="K38" s="25"/>
      <c r="L38" s="26"/>
      <c r="M38" s="4"/>
      <c r="N38" s="8"/>
      <c r="O38" s="90"/>
      <c r="P38" s="90"/>
      <c r="Q38" s="90"/>
      <c r="R38" s="90"/>
      <c r="S38" s="90"/>
      <c r="T38" s="9"/>
      <c r="U38" s="9"/>
      <c r="V38" s="9"/>
      <c r="W38" s="9"/>
      <c r="X38" s="9"/>
      <c r="Y38" s="9"/>
      <c r="Z38" s="9"/>
      <c r="AA38" s="10"/>
      <c r="AB38" s="4"/>
    </row>
    <row r="39" spans="1:28" ht="15.75" thickBot="1" x14ac:dyDescent="0.35">
      <c r="A39" s="4"/>
      <c r="B39" s="24"/>
      <c r="C39" s="25"/>
      <c r="D39" s="25"/>
      <c r="E39" s="34"/>
      <c r="F39" s="35"/>
      <c r="G39" s="35"/>
      <c r="H39" s="35"/>
      <c r="I39" s="36"/>
      <c r="J39" s="25"/>
      <c r="K39" s="25"/>
      <c r="L39" s="26"/>
      <c r="M39" s="4"/>
      <c r="N39" s="8"/>
      <c r="O39" s="90"/>
      <c r="P39" s="90"/>
      <c r="Q39" s="90"/>
      <c r="R39" s="90"/>
      <c r="S39" s="90"/>
      <c r="T39" s="9"/>
      <c r="U39" s="9"/>
      <c r="V39" s="9"/>
      <c r="W39" s="9"/>
      <c r="X39" s="9"/>
      <c r="Y39" s="9"/>
      <c r="Z39" s="9"/>
      <c r="AA39" s="10"/>
      <c r="AB39" s="4"/>
    </row>
    <row r="40" spans="1:28" ht="15.75" thickBot="1" x14ac:dyDescent="0.35">
      <c r="A40" s="4"/>
      <c r="B40" s="27"/>
      <c r="C40" s="28"/>
      <c r="D40" s="28"/>
      <c r="E40" s="28"/>
      <c r="F40" s="28"/>
      <c r="G40" s="28"/>
      <c r="H40" s="28"/>
      <c r="I40" s="28"/>
      <c r="J40" s="28"/>
      <c r="K40" s="28"/>
      <c r="L40" s="29"/>
      <c r="M40" s="4"/>
      <c r="N40" s="11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3"/>
      <c r="AB40" s="4"/>
    </row>
    <row r="41" spans="1:28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</row>
    <row r="42" spans="1:28" x14ac:dyDescent="0.3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</row>
    <row r="43" spans="1:28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</row>
  </sheetData>
  <mergeCells count="36">
    <mergeCell ref="C30:F31"/>
    <mergeCell ref="H30:K31"/>
    <mergeCell ref="J3:L8"/>
    <mergeCell ref="N2:Q5"/>
    <mergeCell ref="N6:Q15"/>
    <mergeCell ref="J2:L2"/>
    <mergeCell ref="O18:S19"/>
    <mergeCell ref="O21:S24"/>
    <mergeCell ref="O26:S29"/>
    <mergeCell ref="B10:L25"/>
    <mergeCell ref="B3:C7"/>
    <mergeCell ref="E2:I4"/>
    <mergeCell ref="E5:I8"/>
    <mergeCell ref="X12:Z14"/>
    <mergeCell ref="U34:V36"/>
    <mergeCell ref="Y34:Z36"/>
    <mergeCell ref="O36:S39"/>
    <mergeCell ref="T3:X10"/>
    <mergeCell ref="Y3:Z10"/>
    <mergeCell ref="U27:V29"/>
    <mergeCell ref="E33:I34"/>
    <mergeCell ref="F36:H38"/>
    <mergeCell ref="C27:F28"/>
    <mergeCell ref="H27:K28"/>
    <mergeCell ref="AD7:AE7"/>
    <mergeCell ref="AD8:AE8"/>
    <mergeCell ref="AD9:AE9"/>
    <mergeCell ref="AD10:AE10"/>
    <mergeCell ref="O31:S34"/>
    <mergeCell ref="W31:X32"/>
    <mergeCell ref="W27:X28"/>
    <mergeCell ref="W34:X35"/>
    <mergeCell ref="U18:Z20"/>
    <mergeCell ref="Y27:Z29"/>
    <mergeCell ref="U23:X24"/>
    <mergeCell ref="T12:V14"/>
  </mergeCells>
  <conditionalFormatting sqref="AF7:AF10">
    <cfRule type="top10" dxfId="121" priority="2" bottom="1" rank="1"/>
    <cfRule type="cellIs" dxfId="120" priority="1" operator="lessThanOrEqual">
      <formula>150</formula>
    </cfRule>
  </conditionalFormatting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AFF6E-E9D4-4A7C-95CE-816D3DEDD4ED}">
  <sheetPr codeName="Sheet2"/>
  <dimension ref="B2:N26"/>
  <sheetViews>
    <sheetView showRowColHeaders="0" zoomScale="110" zoomScaleNormal="110" workbookViewId="0">
      <selection activeCell="F18" sqref="F18"/>
    </sheetView>
  </sheetViews>
  <sheetFormatPr defaultRowHeight="15.05" x14ac:dyDescent="0.3"/>
  <cols>
    <col min="4" max="4" width="22" bestFit="1" customWidth="1"/>
    <col min="5" max="5" width="13.77734375" customWidth="1"/>
    <col min="6" max="6" width="18.33203125" bestFit="1" customWidth="1"/>
    <col min="7" max="7" width="19.44140625" customWidth="1"/>
    <col min="11" max="11" width="19.44140625" customWidth="1"/>
    <col min="13" max="13" width="17.109375" customWidth="1"/>
  </cols>
  <sheetData>
    <row r="2" spans="2:14" x14ac:dyDescent="0.3">
      <c r="H2" s="135" t="s">
        <v>15</v>
      </c>
      <c r="I2" s="135"/>
      <c r="J2" s="37">
        <f>COUNTA(Auction_P[Name])</f>
        <v>0</v>
      </c>
    </row>
    <row r="4" spans="2:14" x14ac:dyDescent="0.3">
      <c r="I4" s="136" t="s">
        <v>16</v>
      </c>
      <c r="J4" s="136"/>
      <c r="K4" s="38"/>
      <c r="L4" s="38"/>
      <c r="M4" s="38"/>
      <c r="N4" s="38"/>
    </row>
    <row r="5" spans="2:14" x14ac:dyDescent="0.3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I5">
        <v>2</v>
      </c>
      <c r="J5">
        <f>VLOOKUP($I$5,Auction_P[],2,FALSE)</f>
        <v>0</v>
      </c>
      <c r="K5">
        <f>VLOOKUP($I$5,Auction_P[],3,FALSE)</f>
        <v>0</v>
      </c>
      <c r="L5">
        <f>VLOOKUP($I$5,Auction_P[],4,FALSE)</f>
        <v>0</v>
      </c>
      <c r="M5">
        <f>VLOOKUP($I$5,Auction_P[],5,FALSE)</f>
        <v>0</v>
      </c>
      <c r="N5">
        <f>VLOOKUP($I$5,Auction_P[],6,FALSE)</f>
        <v>0</v>
      </c>
    </row>
    <row r="6" spans="2:14" x14ac:dyDescent="0.3">
      <c r="B6" s="42">
        <f>ROWS($B$6:Auction_P[[#This Row],[Sl No]])-1</f>
        <v>0</v>
      </c>
      <c r="C6" s="2"/>
      <c r="D6" s="44"/>
      <c r="E6" s="45"/>
      <c r="F6" s="45"/>
      <c r="G6" s="2"/>
    </row>
    <row r="7" spans="2:14" x14ac:dyDescent="0.3">
      <c r="B7" s="42">
        <f>ROWS($B$6:Auction_P[[#This Row],[Sl No]])-1</f>
        <v>1</v>
      </c>
      <c r="C7" s="2"/>
      <c r="D7" s="44"/>
      <c r="E7" s="45"/>
      <c r="F7" s="45"/>
      <c r="G7" s="2"/>
    </row>
    <row r="8" spans="2:14" x14ac:dyDescent="0.3">
      <c r="B8" s="42">
        <f>ROWS($B$6:Auction_P[[#This Row],[Sl No]])-1</f>
        <v>2</v>
      </c>
      <c r="C8" s="2"/>
      <c r="D8" s="44"/>
      <c r="E8" s="45"/>
      <c r="F8" s="45"/>
      <c r="G8" s="2"/>
    </row>
    <row r="9" spans="2:14" x14ac:dyDescent="0.3">
      <c r="B9" s="42">
        <f>ROWS($B$6:Auction_P[[#This Row],[Sl No]])-1</f>
        <v>3</v>
      </c>
      <c r="C9" s="2"/>
      <c r="D9" s="44"/>
      <c r="E9" s="45"/>
      <c r="F9" s="45"/>
      <c r="G9" s="2"/>
    </row>
    <row r="10" spans="2:14" x14ac:dyDescent="0.3">
      <c r="B10" s="42">
        <f>ROWS($B$6:Auction_P[[#This Row],[Sl No]])-1</f>
        <v>4</v>
      </c>
      <c r="C10" s="2"/>
      <c r="D10" s="44"/>
      <c r="E10" s="45"/>
      <c r="F10" s="45"/>
      <c r="G10" s="2"/>
    </row>
    <row r="11" spans="2:14" x14ac:dyDescent="0.3">
      <c r="B11" s="42">
        <f>ROWS($B$6:Auction_P[[#This Row],[Sl No]])-1</f>
        <v>5</v>
      </c>
      <c r="C11" s="2"/>
      <c r="D11" s="44"/>
      <c r="E11" s="45"/>
      <c r="F11" s="45"/>
      <c r="G11" s="2"/>
    </row>
    <row r="12" spans="2:14" x14ac:dyDescent="0.3">
      <c r="B12" s="42">
        <f>ROWS($B$6:Auction_P[[#This Row],[Sl No]])-1</f>
        <v>6</v>
      </c>
      <c r="C12" s="2"/>
      <c r="D12" s="44"/>
      <c r="E12" s="45"/>
      <c r="F12" s="45"/>
      <c r="G12" s="2"/>
    </row>
    <row r="13" spans="2:14" x14ac:dyDescent="0.3">
      <c r="B13" s="42">
        <f>ROWS($B$6:Auction_P[[#This Row],[Sl No]])-1</f>
        <v>7</v>
      </c>
      <c r="C13" s="2"/>
      <c r="D13" s="44"/>
      <c r="E13" s="45"/>
      <c r="F13" s="45"/>
      <c r="G13" s="2"/>
    </row>
    <row r="14" spans="2:14" x14ac:dyDescent="0.3">
      <c r="B14" s="42">
        <f>ROWS($B$6:Auction_P[[#This Row],[Sl No]])-1</f>
        <v>8</v>
      </c>
      <c r="C14" s="2"/>
      <c r="D14" s="44"/>
      <c r="E14" s="45"/>
      <c r="F14" s="45"/>
      <c r="G14" s="2"/>
    </row>
    <row r="15" spans="2:14" x14ac:dyDescent="0.3">
      <c r="B15" s="42">
        <f>ROWS($B$6:Auction_P[[#This Row],[Sl No]])-1</f>
        <v>9</v>
      </c>
      <c r="C15" s="2"/>
      <c r="D15" s="44"/>
      <c r="E15" s="45"/>
      <c r="F15" s="45"/>
      <c r="G15" s="2"/>
    </row>
    <row r="16" spans="2:14" x14ac:dyDescent="0.3">
      <c r="B16" s="42">
        <f>ROWS($B$6:Auction_P[[#This Row],[Sl No]])-1</f>
        <v>10</v>
      </c>
      <c r="C16" s="2"/>
      <c r="D16" s="44"/>
      <c r="E16" s="45"/>
      <c r="F16" s="45"/>
      <c r="G16" s="2"/>
    </row>
    <row r="17" spans="2:7" x14ac:dyDescent="0.3">
      <c r="B17" s="42">
        <f>ROWS($B$6:Auction_P[[#This Row],[Sl No]])-1</f>
        <v>11</v>
      </c>
      <c r="C17" s="2"/>
      <c r="D17" s="44"/>
      <c r="E17" s="45"/>
      <c r="F17" s="45"/>
      <c r="G17" s="2"/>
    </row>
    <row r="18" spans="2:7" x14ac:dyDescent="0.3">
      <c r="B18" s="42">
        <f>ROWS($B$6:Auction_P[[#This Row],[Sl No]])-1</f>
        <v>12</v>
      </c>
      <c r="C18" s="2"/>
      <c r="D18" s="44"/>
      <c r="E18" s="45"/>
      <c r="F18" s="45"/>
      <c r="G18" s="2"/>
    </row>
    <row r="19" spans="2:7" x14ac:dyDescent="0.3">
      <c r="B19" s="42">
        <f>ROWS($B$6:Auction_P[[#This Row],[Sl No]])-1</f>
        <v>13</v>
      </c>
      <c r="C19" s="2"/>
      <c r="D19" s="44"/>
      <c r="E19" s="45"/>
      <c r="F19" s="45"/>
      <c r="G19" s="2"/>
    </row>
    <row r="20" spans="2:7" x14ac:dyDescent="0.3">
      <c r="B20" s="42">
        <f>ROWS($B$6:Auction_P[[#This Row],[Sl No]])-1</f>
        <v>14</v>
      </c>
      <c r="C20" s="2"/>
      <c r="D20" s="44"/>
      <c r="E20" s="45"/>
      <c r="F20" s="45"/>
      <c r="G20" s="2"/>
    </row>
    <row r="21" spans="2:7" x14ac:dyDescent="0.3">
      <c r="B21" s="42">
        <f>ROWS($B$6:Auction_P[[#This Row],[Sl No]])-1</f>
        <v>15</v>
      </c>
      <c r="C21" s="2"/>
      <c r="D21" s="44"/>
      <c r="E21" s="45"/>
      <c r="F21" s="45"/>
      <c r="G21" s="2"/>
    </row>
    <row r="22" spans="2:7" x14ac:dyDescent="0.3">
      <c r="B22" s="42">
        <f>ROWS($B$6:Auction_P[[#This Row],[Sl No]])-1</f>
        <v>16</v>
      </c>
      <c r="C22" s="2"/>
      <c r="D22" s="44"/>
      <c r="E22" s="45"/>
      <c r="F22" s="45"/>
      <c r="G22" s="2"/>
    </row>
    <row r="23" spans="2:7" x14ac:dyDescent="0.3">
      <c r="B23" s="42">
        <f>ROWS($B$6:Auction_P[[#This Row],[Sl No]])-1</f>
        <v>17</v>
      </c>
      <c r="C23" s="2"/>
      <c r="D23" s="44"/>
      <c r="E23" s="45"/>
      <c r="F23" s="45"/>
      <c r="G23" s="2"/>
    </row>
    <row r="24" spans="2:7" x14ac:dyDescent="0.3">
      <c r="B24" s="42">
        <f>ROWS($B$6:Auction_P[[#This Row],[Sl No]])-1</f>
        <v>18</v>
      </c>
      <c r="C24" s="2"/>
      <c r="D24" s="44"/>
      <c r="E24" s="45"/>
      <c r="F24" s="45"/>
      <c r="G24" s="2"/>
    </row>
    <row r="25" spans="2:7" x14ac:dyDescent="0.3">
      <c r="B25" s="42">
        <f>ROWS($B$6:Auction_P[[#This Row],[Sl No]])-1</f>
        <v>19</v>
      </c>
      <c r="C25" s="2"/>
      <c r="D25" s="44"/>
      <c r="E25" s="45"/>
      <c r="F25" s="45"/>
      <c r="G25" s="2"/>
    </row>
    <row r="26" spans="2:7" x14ac:dyDescent="0.3">
      <c r="B26" s="42">
        <f>ROWS($B$6:Auction_P[[#This Row],[Sl No]])-1</f>
        <v>20</v>
      </c>
      <c r="C26" s="2"/>
      <c r="D26" s="44"/>
      <c r="E26" s="45"/>
      <c r="F26" s="45"/>
      <c r="G26" s="2"/>
    </row>
  </sheetData>
  <mergeCells count="2">
    <mergeCell ref="H2:I2"/>
    <mergeCell ref="I4:J4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C456-6C8D-427A-9321-2203A7DBC6F6}">
  <sheetPr codeName="Sheet8"/>
  <dimension ref="A1:AA30"/>
  <sheetViews>
    <sheetView showGridLines="0" showRowColHeaders="0" zoomScaleNormal="100" workbookViewId="0">
      <selection activeCell="K34" sqref="K34"/>
    </sheetView>
  </sheetViews>
  <sheetFormatPr defaultRowHeight="15.05" x14ac:dyDescent="0.3"/>
  <cols>
    <col min="7" max="7" width="4.21875" customWidth="1"/>
    <col min="14" max="14" width="5.5546875" customWidth="1"/>
    <col min="21" max="21" width="4.5546875" customWidth="1"/>
  </cols>
  <sheetData>
    <row r="1" spans="1:27" x14ac:dyDescent="0.3">
      <c r="C1" s="137">
        <v>1</v>
      </c>
      <c r="D1" s="137"/>
      <c r="J1" s="137">
        <v>2</v>
      </c>
      <c r="K1" s="137"/>
      <c r="Q1" s="137">
        <v>3</v>
      </c>
      <c r="R1" s="137"/>
      <c r="X1" s="137">
        <v>4</v>
      </c>
      <c r="Y1" s="137"/>
    </row>
    <row r="2" spans="1:27" x14ac:dyDescent="0.3">
      <c r="C2" s="137"/>
      <c r="D2" s="137"/>
      <c r="J2" s="137"/>
      <c r="K2" s="137"/>
      <c r="Q2" s="137"/>
      <c r="R2" s="137"/>
      <c r="X2" s="137"/>
      <c r="Y2" s="137"/>
    </row>
    <row r="3" spans="1:27" x14ac:dyDescent="0.3">
      <c r="C3" s="137"/>
      <c r="D3" s="137"/>
      <c r="J3" s="137"/>
      <c r="K3" s="137"/>
      <c r="Q3" s="137"/>
      <c r="R3" s="137"/>
      <c r="X3" s="137"/>
      <c r="Y3" s="137"/>
    </row>
    <row r="4" spans="1:27" x14ac:dyDescent="0.3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2"/>
      <c r="H4" s="1" t="s">
        <v>0</v>
      </c>
      <c r="I4" s="1" t="s">
        <v>1</v>
      </c>
      <c r="J4" s="1" t="s">
        <v>2</v>
      </c>
      <c r="K4" s="1" t="s">
        <v>3</v>
      </c>
      <c r="L4" s="1" t="s">
        <v>4</v>
      </c>
      <c r="M4" s="1" t="s">
        <v>5</v>
      </c>
      <c r="N4" s="2"/>
      <c r="O4" s="1" t="s">
        <v>0</v>
      </c>
      <c r="P4" s="1" t="s">
        <v>1</v>
      </c>
      <c r="Q4" s="1" t="s">
        <v>2</v>
      </c>
      <c r="R4" s="1" t="s">
        <v>3</v>
      </c>
      <c r="S4" s="1" t="s">
        <v>4</v>
      </c>
      <c r="T4" s="1" t="s">
        <v>5</v>
      </c>
      <c r="U4" s="2"/>
      <c r="V4" s="1" t="s">
        <v>0</v>
      </c>
      <c r="W4" s="1" t="s">
        <v>1</v>
      </c>
      <c r="X4" s="1" t="s">
        <v>2</v>
      </c>
      <c r="Y4" s="1" t="s">
        <v>3</v>
      </c>
      <c r="Z4" s="1" t="s">
        <v>4</v>
      </c>
      <c r="AA4" s="1" t="s">
        <v>5</v>
      </c>
    </row>
    <row r="5" spans="1:27" x14ac:dyDescent="0.3">
      <c r="A5" s="2">
        <f>ROWS($A$5:Auction_P11[[#This Row],[Sl No]])</f>
        <v>1</v>
      </c>
      <c r="B5" s="2" t="s">
        <v>46</v>
      </c>
      <c r="C5" s="2" t="s">
        <v>47</v>
      </c>
      <c r="D5" s="59" t="s">
        <v>48</v>
      </c>
      <c r="E5" s="59"/>
      <c r="F5" s="2">
        <v>10</v>
      </c>
      <c r="G5" s="2"/>
      <c r="H5" s="2">
        <f>ROWS($A$5:Auction_P1112[[#This Row],[Sl No]])</f>
        <v>1</v>
      </c>
      <c r="I5" s="59" t="s">
        <v>49</v>
      </c>
      <c r="J5" s="59" t="s">
        <v>50</v>
      </c>
      <c r="K5" s="59" t="s">
        <v>48</v>
      </c>
      <c r="L5" s="59" t="s">
        <v>51</v>
      </c>
      <c r="M5" s="59">
        <v>40</v>
      </c>
      <c r="N5" s="2"/>
      <c r="O5" s="2">
        <f>ROWS($A$5:Auction_P1113[[#This Row],[Sl No]])</f>
        <v>1</v>
      </c>
      <c r="P5" s="2" t="s">
        <v>46</v>
      </c>
      <c r="Q5" s="2" t="s">
        <v>92</v>
      </c>
      <c r="R5" s="2" t="s">
        <v>48</v>
      </c>
      <c r="S5" s="2" t="s">
        <v>51</v>
      </c>
      <c r="T5" s="2">
        <v>25</v>
      </c>
      <c r="U5" s="2"/>
      <c r="V5" s="2">
        <f>ROWS($A$5:Auction_P1114[[#This Row],[Sl No]])</f>
        <v>1</v>
      </c>
      <c r="W5" s="2" t="s">
        <v>46</v>
      </c>
      <c r="X5" s="2" t="s">
        <v>56</v>
      </c>
      <c r="Y5" s="59" t="s">
        <v>48</v>
      </c>
      <c r="Z5" s="59" t="s">
        <v>51</v>
      </c>
      <c r="AA5" s="2">
        <v>15</v>
      </c>
    </row>
    <row r="6" spans="1:27" x14ac:dyDescent="0.3">
      <c r="A6" s="2">
        <f>ROWS($A$5:Auction_P11[[#This Row],[Sl No]])</f>
        <v>2</v>
      </c>
      <c r="B6" s="59" t="s">
        <v>46</v>
      </c>
      <c r="C6" s="2" t="s">
        <v>53</v>
      </c>
      <c r="D6" s="59" t="s">
        <v>48</v>
      </c>
      <c r="E6" s="59" t="s">
        <v>54</v>
      </c>
      <c r="F6" s="59">
        <v>20</v>
      </c>
      <c r="G6" s="2"/>
      <c r="H6" s="2">
        <f>ROWS($A$5:Auction_P1112[[#This Row],[Sl No]])</f>
        <v>2</v>
      </c>
      <c r="I6" s="59" t="s">
        <v>46</v>
      </c>
      <c r="J6" s="2" t="s">
        <v>55</v>
      </c>
      <c r="K6" s="79" t="s">
        <v>48</v>
      </c>
      <c r="L6" s="79" t="s">
        <v>54</v>
      </c>
      <c r="M6" s="59">
        <v>20</v>
      </c>
      <c r="N6" s="2"/>
      <c r="O6" s="2">
        <f>ROWS($A$5:Auction_P1113[[#This Row],[Sl No]])</f>
        <v>2</v>
      </c>
      <c r="P6" s="2" t="s">
        <v>46</v>
      </c>
      <c r="Q6" s="2" t="s">
        <v>72</v>
      </c>
      <c r="R6" s="2"/>
      <c r="S6" s="2"/>
      <c r="T6" s="2">
        <v>10</v>
      </c>
      <c r="U6" s="2"/>
      <c r="V6" s="2">
        <f>ROWS($A$5:Auction_P1114[[#This Row],[Sl No]])</f>
        <v>2</v>
      </c>
      <c r="W6" s="2" t="s">
        <v>46</v>
      </c>
      <c r="X6" s="2" t="s">
        <v>61</v>
      </c>
      <c r="Y6" s="79" t="s">
        <v>48</v>
      </c>
      <c r="Z6" s="45"/>
      <c r="AA6" s="2">
        <v>15</v>
      </c>
    </row>
    <row r="7" spans="1:27" x14ac:dyDescent="0.3">
      <c r="A7" s="2">
        <f>ROWS($A$5:Auction_P11[[#This Row],[Sl No]])</f>
        <v>3</v>
      </c>
      <c r="B7" s="2" t="s">
        <v>46</v>
      </c>
      <c r="C7" s="2" t="s">
        <v>57</v>
      </c>
      <c r="D7" s="59" t="s">
        <v>48</v>
      </c>
      <c r="E7" s="59" t="s">
        <v>51</v>
      </c>
      <c r="F7" s="2">
        <v>15</v>
      </c>
      <c r="G7" s="2"/>
      <c r="H7" s="2">
        <f>ROWS($A$5:Auction_P1112[[#This Row],[Sl No]])</f>
        <v>3</v>
      </c>
      <c r="I7" s="59" t="s">
        <v>52</v>
      </c>
      <c r="J7" s="2" t="s">
        <v>63</v>
      </c>
      <c r="K7" s="79" t="s">
        <v>48</v>
      </c>
      <c r="L7" s="79" t="s">
        <v>54</v>
      </c>
      <c r="M7" s="59">
        <v>50</v>
      </c>
      <c r="N7" s="2"/>
      <c r="O7" s="2">
        <f>ROWS($A$5:Auction_P1113[[#This Row],[Sl No]])</f>
        <v>3</v>
      </c>
      <c r="P7" s="2" t="s">
        <v>52</v>
      </c>
      <c r="Q7" s="2" t="s">
        <v>77</v>
      </c>
      <c r="R7" s="2" t="s">
        <v>48</v>
      </c>
      <c r="S7" s="2" t="s">
        <v>54</v>
      </c>
      <c r="T7" s="2">
        <v>80</v>
      </c>
      <c r="U7" s="2"/>
      <c r="V7" s="2">
        <f>ROWS($A$5:Auction_P1114[[#This Row],[Sl No]])</f>
        <v>3</v>
      </c>
      <c r="W7" s="59" t="s">
        <v>49</v>
      </c>
      <c r="X7" s="2" t="s">
        <v>62</v>
      </c>
      <c r="Y7" s="59" t="s">
        <v>48</v>
      </c>
      <c r="Z7" s="59" t="s">
        <v>54</v>
      </c>
      <c r="AA7" s="59">
        <v>35</v>
      </c>
    </row>
    <row r="8" spans="1:27" x14ac:dyDescent="0.3">
      <c r="A8" s="2">
        <f>ROWS($A$5:Auction_P11[[#This Row],[Sl No]])</f>
        <v>4</v>
      </c>
      <c r="B8" s="2" t="s">
        <v>49</v>
      </c>
      <c r="C8" s="2" t="s">
        <v>58</v>
      </c>
      <c r="D8" s="59" t="s">
        <v>48</v>
      </c>
      <c r="E8" s="59" t="s">
        <v>51</v>
      </c>
      <c r="F8" s="2">
        <v>30</v>
      </c>
      <c r="G8" s="2"/>
      <c r="H8" s="2">
        <f>ROWS($A$5:Auction_P1112[[#This Row],[Sl No]])</f>
        <v>4</v>
      </c>
      <c r="I8" s="59" t="s">
        <v>46</v>
      </c>
      <c r="J8" s="2" t="s">
        <v>76</v>
      </c>
      <c r="K8" s="59" t="s">
        <v>48</v>
      </c>
      <c r="L8" s="59" t="s">
        <v>54</v>
      </c>
      <c r="M8" s="59">
        <v>25</v>
      </c>
      <c r="N8" s="2"/>
      <c r="O8" s="2">
        <f>ROWS($A$5:Auction_P1113[[#This Row],[Sl No]])</f>
        <v>4</v>
      </c>
      <c r="P8" s="2" t="s">
        <v>46</v>
      </c>
      <c r="Q8" s="2" t="s">
        <v>81</v>
      </c>
      <c r="R8" s="2" t="s">
        <v>48</v>
      </c>
      <c r="S8" s="2"/>
      <c r="T8" s="2">
        <v>15</v>
      </c>
      <c r="U8" s="2"/>
      <c r="V8" s="2">
        <f>ROWS($A$5:Auction_P1114[[#This Row],[Sl No]])</f>
        <v>4</v>
      </c>
      <c r="W8" s="59" t="s">
        <v>46</v>
      </c>
      <c r="X8" s="2" t="s">
        <v>66</v>
      </c>
      <c r="Y8" s="59" t="s">
        <v>48</v>
      </c>
      <c r="Z8" s="59"/>
      <c r="AA8" s="59">
        <v>20</v>
      </c>
    </row>
    <row r="9" spans="1:27" x14ac:dyDescent="0.3">
      <c r="A9" s="2">
        <f>ROWS($A$5:Auction_P11[[#This Row],[Sl No]])</f>
        <v>5</v>
      </c>
      <c r="B9" s="2" t="s">
        <v>46</v>
      </c>
      <c r="C9" s="2" t="s">
        <v>67</v>
      </c>
      <c r="D9" s="2"/>
      <c r="E9" s="2"/>
      <c r="F9" s="2">
        <v>20</v>
      </c>
      <c r="G9" s="2"/>
      <c r="H9" s="2">
        <f>ROWS($A$5:Auction_P1112[[#This Row],[Sl No]])</f>
        <v>5</v>
      </c>
      <c r="I9" s="2" t="s">
        <v>46</v>
      </c>
      <c r="J9" s="2" t="s">
        <v>82</v>
      </c>
      <c r="K9" s="79" t="s">
        <v>48</v>
      </c>
      <c r="L9" s="45"/>
      <c r="M9" s="2">
        <v>15</v>
      </c>
      <c r="N9" s="2"/>
      <c r="O9" s="2">
        <f>ROWS($A$5:Auction_P1113[[#This Row],[Sl No]])</f>
        <v>5</v>
      </c>
      <c r="P9" s="2" t="s">
        <v>46</v>
      </c>
      <c r="Q9" s="2" t="s">
        <v>83</v>
      </c>
      <c r="R9" s="2" t="s">
        <v>48</v>
      </c>
      <c r="S9" s="2"/>
      <c r="T9" s="2">
        <v>20</v>
      </c>
      <c r="U9" s="2"/>
      <c r="V9" s="2">
        <f>ROWS($A$5:Auction_P1114[[#This Row],[Sl No]])</f>
        <v>5</v>
      </c>
      <c r="W9" s="59" t="s">
        <v>49</v>
      </c>
      <c r="X9" s="2" t="s">
        <v>68</v>
      </c>
      <c r="Y9" s="59" t="s">
        <v>48</v>
      </c>
      <c r="Z9" s="59" t="s">
        <v>54</v>
      </c>
      <c r="AA9" s="59">
        <v>30</v>
      </c>
    </row>
    <row r="10" spans="1:27" x14ac:dyDescent="0.3">
      <c r="A10" s="2">
        <f>ROWS($A$5:Auction_P11[[#This Row],[Sl No]])</f>
        <v>6</v>
      </c>
      <c r="B10" s="59" t="s">
        <v>49</v>
      </c>
      <c r="C10" s="2" t="s">
        <v>69</v>
      </c>
      <c r="D10" s="59" t="s">
        <v>48</v>
      </c>
      <c r="E10" s="59" t="s">
        <v>54</v>
      </c>
      <c r="F10" s="59">
        <v>30</v>
      </c>
      <c r="G10" s="2"/>
      <c r="H10" s="2">
        <f>ROWS($A$5:Auction_P1112[[#This Row],[Sl No]])</f>
        <v>6</v>
      </c>
      <c r="I10" s="59" t="s">
        <v>46</v>
      </c>
      <c r="J10" s="2" t="s">
        <v>84</v>
      </c>
      <c r="K10" s="59" t="s">
        <v>48</v>
      </c>
      <c r="L10" s="59" t="s">
        <v>54</v>
      </c>
      <c r="M10" s="59">
        <v>30</v>
      </c>
      <c r="N10" s="2"/>
      <c r="O10" s="2">
        <f>ROWS($A$5:Auction_P1113[[#This Row],[Sl No]])</f>
        <v>6</v>
      </c>
      <c r="P10" s="2" t="s">
        <v>46</v>
      </c>
      <c r="Q10" s="2" t="s">
        <v>88</v>
      </c>
      <c r="R10" s="2" t="s">
        <v>48</v>
      </c>
      <c r="S10" s="2"/>
      <c r="T10" s="2">
        <v>10</v>
      </c>
      <c r="U10" s="2"/>
      <c r="V10" s="2">
        <f>ROWS($A$5:Auction_P1114[[#This Row],[Sl No]])</f>
        <v>6</v>
      </c>
      <c r="W10" s="59" t="s">
        <v>52</v>
      </c>
      <c r="X10" s="2" t="s">
        <v>80</v>
      </c>
      <c r="Y10" s="59" t="s">
        <v>48</v>
      </c>
      <c r="Z10" s="79" t="s">
        <v>54</v>
      </c>
      <c r="AA10" s="59">
        <v>55</v>
      </c>
    </row>
    <row r="11" spans="1:27" x14ac:dyDescent="0.3">
      <c r="A11" s="2">
        <f>ROWS($A$5:Auction_P11[[#This Row],[Sl No]])</f>
        <v>7</v>
      </c>
      <c r="B11" s="2" t="s">
        <v>46</v>
      </c>
      <c r="C11" s="2" t="s">
        <v>70</v>
      </c>
      <c r="D11" s="2"/>
      <c r="E11" s="2"/>
      <c r="F11" s="2">
        <v>15</v>
      </c>
      <c r="G11" s="2"/>
      <c r="H11" s="2">
        <f>ROWS($A$5:Auction_P1112[[#This Row],[Sl No]])</f>
        <v>7</v>
      </c>
      <c r="I11" s="2" t="s">
        <v>46</v>
      </c>
      <c r="J11" s="2" t="s">
        <v>85</v>
      </c>
      <c r="K11" s="45" t="s">
        <v>48</v>
      </c>
      <c r="L11" s="45"/>
      <c r="M11" s="2">
        <v>15</v>
      </c>
      <c r="N11" s="2"/>
      <c r="O11" s="2">
        <f>ROWS($A$5:Auction_P1113[[#This Row],[Sl No]])</f>
        <v>7</v>
      </c>
      <c r="P11" s="2" t="s">
        <v>46</v>
      </c>
      <c r="Q11" s="2" t="s">
        <v>93</v>
      </c>
      <c r="R11" s="2" t="s">
        <v>48</v>
      </c>
      <c r="S11" s="2"/>
      <c r="T11" s="2">
        <v>25</v>
      </c>
      <c r="U11" s="2"/>
      <c r="V11" s="2">
        <f>ROWS($A$5:Auction_P1114[[#This Row],[Sl No]])</f>
        <v>7</v>
      </c>
      <c r="W11" s="2"/>
      <c r="X11" s="2"/>
      <c r="Y11" s="2"/>
      <c r="Z11" s="2"/>
      <c r="AA11" s="2"/>
    </row>
    <row r="12" spans="1:27" x14ac:dyDescent="0.3">
      <c r="A12" s="2">
        <f>ROWS($A$5:Auction_P11[[#This Row],[Sl No]])</f>
        <v>8</v>
      </c>
      <c r="B12" s="2" t="s">
        <v>49</v>
      </c>
      <c r="C12" s="2" t="s">
        <v>78</v>
      </c>
      <c r="D12" s="59" t="s">
        <v>48</v>
      </c>
      <c r="E12" s="59" t="s">
        <v>54</v>
      </c>
      <c r="F12" s="2">
        <v>35</v>
      </c>
      <c r="G12" s="2"/>
      <c r="H12" s="2">
        <f>ROWS($A$5:Auction_P1112[[#This Row],[Sl No]])</f>
        <v>8</v>
      </c>
      <c r="I12" s="59" t="s">
        <v>46</v>
      </c>
      <c r="J12" s="2" t="s">
        <v>87</v>
      </c>
      <c r="K12" s="79" t="s">
        <v>48</v>
      </c>
      <c r="L12" s="79" t="s">
        <v>54</v>
      </c>
      <c r="M12" s="59">
        <v>30</v>
      </c>
      <c r="N12" s="2"/>
      <c r="O12" s="2">
        <f>ROWS($A$5:Auction_P1113[[#This Row],[Sl No]])</f>
        <v>8</v>
      </c>
      <c r="P12" s="2"/>
      <c r="Q12" s="2"/>
      <c r="R12" s="2"/>
      <c r="S12" s="2"/>
      <c r="T12" s="2"/>
      <c r="U12" s="2"/>
      <c r="V12" s="2">
        <f>ROWS($A$5:Auction_P1114[[#This Row],[Sl No]])</f>
        <v>8</v>
      </c>
      <c r="W12" s="2"/>
      <c r="X12" s="2"/>
      <c r="Y12" s="2"/>
      <c r="Z12" s="2"/>
      <c r="AA12" s="2"/>
    </row>
    <row r="13" spans="1:27" x14ac:dyDescent="0.3">
      <c r="A13" s="2">
        <f>ROWS($A$5:Auction_P11[[#This Row],[Sl No]])</f>
        <v>9</v>
      </c>
      <c r="B13" s="2"/>
      <c r="C13" s="2"/>
      <c r="D13" s="2"/>
      <c r="E13" s="2"/>
      <c r="F13" s="2"/>
      <c r="G13" s="2"/>
      <c r="H13" s="2">
        <f>ROWS($A$5:Auction_P1112[[#This Row],[Sl No]])</f>
        <v>9</v>
      </c>
      <c r="I13" s="2"/>
      <c r="J13" s="2"/>
      <c r="K13" s="2"/>
      <c r="L13" s="2"/>
      <c r="M13" s="2"/>
      <c r="N13" s="2"/>
      <c r="O13" s="2">
        <f>ROWS($A$5:Auction_P1113[[#This Row],[Sl No]])</f>
        <v>9</v>
      </c>
      <c r="P13" s="2"/>
      <c r="Q13" s="2"/>
      <c r="R13" s="2"/>
      <c r="S13" s="2"/>
      <c r="T13" s="2"/>
      <c r="U13" s="2"/>
      <c r="V13" s="2">
        <f>ROWS($A$5:Auction_P1114[[#This Row],[Sl No]])</f>
        <v>9</v>
      </c>
      <c r="W13" s="2"/>
      <c r="X13" s="2"/>
      <c r="Y13" s="2"/>
      <c r="Z13" s="2"/>
      <c r="AA13" s="2"/>
    </row>
    <row r="14" spans="1:27" x14ac:dyDescent="0.3">
      <c r="A14" s="2">
        <f>ROWS($A$5:Auction_P11[[#This Row],[Sl No]])</f>
        <v>10</v>
      </c>
      <c r="B14" s="2"/>
      <c r="C14" s="2"/>
      <c r="D14" s="2"/>
      <c r="E14" s="2"/>
      <c r="F14" s="2"/>
      <c r="G14" s="2"/>
      <c r="H14" s="2">
        <f>ROWS($A$5:Auction_P1112[[#This Row],[Sl No]])</f>
        <v>10</v>
      </c>
      <c r="I14" s="2"/>
      <c r="J14" s="2"/>
      <c r="K14" s="2"/>
      <c r="L14" s="2"/>
      <c r="M14" s="2"/>
      <c r="N14" s="2"/>
      <c r="O14" s="2">
        <f>ROWS($A$5:Auction_P1113[[#This Row],[Sl No]])</f>
        <v>10</v>
      </c>
      <c r="P14" s="2"/>
      <c r="Q14" s="2"/>
      <c r="R14" s="2"/>
      <c r="S14" s="2"/>
      <c r="T14" s="59"/>
      <c r="U14" s="2"/>
      <c r="V14" s="2">
        <f>ROWS($A$5:Auction_P1114[[#This Row],[Sl No]])</f>
        <v>10</v>
      </c>
      <c r="W14" s="2"/>
      <c r="X14" s="2"/>
      <c r="Y14" s="2"/>
      <c r="Z14" s="2"/>
      <c r="AA14" s="2"/>
    </row>
    <row r="15" spans="1:27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x14ac:dyDescent="0.3">
      <c r="A16" s="2"/>
      <c r="B16" s="2"/>
      <c r="C16" s="137">
        <v>5</v>
      </c>
      <c r="D16" s="137"/>
      <c r="E16" s="2"/>
      <c r="F16" s="2"/>
      <c r="G16" s="2"/>
      <c r="H16" s="2"/>
      <c r="I16" s="2"/>
      <c r="J16" s="137">
        <v>6</v>
      </c>
      <c r="K16" s="137"/>
      <c r="L16" s="2"/>
      <c r="M16" s="2"/>
      <c r="N16" s="2"/>
      <c r="O16" s="2"/>
      <c r="P16" s="2"/>
      <c r="Q16" s="137">
        <v>7</v>
      </c>
      <c r="R16" s="137"/>
      <c r="S16" s="2"/>
      <c r="T16" s="2"/>
      <c r="U16" s="2"/>
      <c r="V16" s="2"/>
      <c r="W16" s="2"/>
      <c r="X16" s="137">
        <v>8</v>
      </c>
      <c r="Y16" s="137"/>
      <c r="Z16" s="2"/>
      <c r="AA16" s="2"/>
    </row>
    <row r="17" spans="1:27" x14ac:dyDescent="0.3">
      <c r="A17" s="2"/>
      <c r="B17" s="2"/>
      <c r="C17" s="137"/>
      <c r="D17" s="137"/>
      <c r="E17" s="2"/>
      <c r="F17" s="2"/>
      <c r="G17" s="2"/>
      <c r="H17" s="2"/>
      <c r="I17" s="2"/>
      <c r="J17" s="137"/>
      <c r="K17" s="137"/>
      <c r="L17" s="2"/>
      <c r="M17" s="2"/>
      <c r="N17" s="2"/>
      <c r="O17" s="2"/>
      <c r="P17" s="2"/>
      <c r="Q17" s="137"/>
      <c r="R17" s="137"/>
      <c r="S17" s="2"/>
      <c r="T17" s="2"/>
      <c r="U17" s="2"/>
      <c r="V17" s="2"/>
      <c r="W17" s="2"/>
      <c r="X17" s="137"/>
      <c r="Y17" s="137"/>
      <c r="Z17" s="2"/>
      <c r="AA17" s="2"/>
    </row>
    <row r="18" spans="1:27" x14ac:dyDescent="0.3">
      <c r="A18" s="2"/>
      <c r="B18" s="2"/>
      <c r="C18" s="137"/>
      <c r="D18" s="137"/>
      <c r="E18" s="2"/>
      <c r="F18" s="2"/>
      <c r="G18" s="2"/>
      <c r="H18" s="2"/>
      <c r="I18" s="2"/>
      <c r="J18" s="137"/>
      <c r="K18" s="137"/>
      <c r="L18" s="2"/>
      <c r="M18" s="2"/>
      <c r="N18" s="2"/>
      <c r="O18" s="2"/>
      <c r="P18" s="2"/>
      <c r="Q18" s="137"/>
      <c r="R18" s="137"/>
      <c r="S18" s="2"/>
      <c r="T18" s="2"/>
      <c r="U18" s="2"/>
      <c r="V18" s="2"/>
      <c r="W18" s="2"/>
      <c r="X18" s="137"/>
      <c r="Y18" s="137"/>
      <c r="Z18" s="2"/>
      <c r="AA18" s="2"/>
    </row>
    <row r="19" spans="1:27" x14ac:dyDescent="0.3">
      <c r="A19" s="1" t="s">
        <v>0</v>
      </c>
      <c r="B19" s="1" t="s">
        <v>1</v>
      </c>
      <c r="C19" s="1" t="s">
        <v>2</v>
      </c>
      <c r="D19" s="1" t="s">
        <v>3</v>
      </c>
      <c r="E19" s="1" t="s">
        <v>4</v>
      </c>
      <c r="F19" s="1" t="s">
        <v>5</v>
      </c>
      <c r="G19" s="2"/>
      <c r="H19" s="1" t="s">
        <v>0</v>
      </c>
      <c r="I19" s="1" t="s">
        <v>1</v>
      </c>
      <c r="J19" s="1" t="s">
        <v>2</v>
      </c>
      <c r="K19" s="1" t="s">
        <v>3</v>
      </c>
      <c r="L19" s="1" t="s">
        <v>4</v>
      </c>
      <c r="M19" s="1" t="s">
        <v>5</v>
      </c>
      <c r="N19" s="2"/>
      <c r="O19" s="1" t="s">
        <v>0</v>
      </c>
      <c r="P19" s="1" t="s">
        <v>1</v>
      </c>
      <c r="Q19" s="1" t="s">
        <v>2</v>
      </c>
      <c r="R19" s="1" t="s">
        <v>3</v>
      </c>
      <c r="S19" s="1" t="s">
        <v>4</v>
      </c>
      <c r="T19" s="1" t="s">
        <v>5</v>
      </c>
      <c r="U19" s="2"/>
      <c r="V19" s="1" t="s">
        <v>0</v>
      </c>
      <c r="W19" s="1" t="s">
        <v>1</v>
      </c>
      <c r="X19" s="1" t="s">
        <v>2</v>
      </c>
      <c r="Y19" s="1" t="s">
        <v>3</v>
      </c>
      <c r="Z19" s="1" t="s">
        <v>4</v>
      </c>
      <c r="AA19" s="1" t="s">
        <v>5</v>
      </c>
    </row>
    <row r="20" spans="1:27" x14ac:dyDescent="0.3">
      <c r="A20" s="2">
        <f>ROWS($A$20:Auction_P1115[[#This Row],[Sl No]])</f>
        <v>1</v>
      </c>
      <c r="B20" s="59" t="s">
        <v>46</v>
      </c>
      <c r="C20" s="2" t="s">
        <v>59</v>
      </c>
      <c r="D20" s="59" t="s">
        <v>48</v>
      </c>
      <c r="E20" s="79"/>
      <c r="F20" s="59">
        <v>30</v>
      </c>
      <c r="G20" s="2"/>
      <c r="H20" s="2">
        <f>ROWS($A$20:Auction_P1116[[#This Row],[Sl No]])</f>
        <v>1</v>
      </c>
      <c r="I20" s="59" t="s">
        <v>46</v>
      </c>
      <c r="J20" s="2" t="s">
        <v>71</v>
      </c>
      <c r="K20" s="79" t="s">
        <v>48</v>
      </c>
      <c r="L20" s="79"/>
      <c r="M20" s="79">
        <v>35</v>
      </c>
      <c r="N20" s="2"/>
      <c r="O20" s="2">
        <f>ROWS($A$20:Auction_P1117[[#This Row],[Sl No]])</f>
        <v>1</v>
      </c>
      <c r="P20" s="2"/>
      <c r="Q20" s="2"/>
      <c r="R20" s="2"/>
      <c r="S20" s="2"/>
      <c r="T20" s="2"/>
      <c r="U20" s="2"/>
      <c r="V20" s="2">
        <f>ROWS($A$20:Auction_P1119[[#This Row],[Sl No]])</f>
        <v>1</v>
      </c>
      <c r="W20" s="2"/>
      <c r="X20" s="2"/>
      <c r="Y20" s="2"/>
      <c r="Z20" s="2"/>
      <c r="AA20" s="2"/>
    </row>
    <row r="21" spans="1:27" x14ac:dyDescent="0.3">
      <c r="A21" s="2">
        <f>ROWS($A$20:Auction_P1115[[#This Row],[Sl No]])</f>
        <v>2</v>
      </c>
      <c r="B21" s="59" t="s">
        <v>46</v>
      </c>
      <c r="C21" s="2" t="s">
        <v>60</v>
      </c>
      <c r="D21" s="79" t="s">
        <v>48</v>
      </c>
      <c r="E21" s="79"/>
      <c r="F21" s="59">
        <v>20</v>
      </c>
      <c r="G21" s="2"/>
      <c r="H21" s="2">
        <f>ROWS($A$20:Auction_P1116[[#This Row],[Sl No]])</f>
        <v>2</v>
      </c>
      <c r="I21" s="59" t="s">
        <v>49</v>
      </c>
      <c r="J21" s="2" t="s">
        <v>73</v>
      </c>
      <c r="K21" s="79" t="s">
        <v>48</v>
      </c>
      <c r="L21" s="79" t="s">
        <v>51</v>
      </c>
      <c r="M21" s="59">
        <v>45</v>
      </c>
      <c r="N21" s="2"/>
      <c r="O21" s="2">
        <f>ROWS($A$20:Auction_P1117[[#This Row],[Sl No]])</f>
        <v>2</v>
      </c>
      <c r="P21" s="2"/>
      <c r="Q21" s="2"/>
      <c r="R21" s="2"/>
      <c r="S21" s="2"/>
      <c r="T21" s="2"/>
      <c r="U21" s="2"/>
      <c r="V21" s="2">
        <f>ROWS($A$20:Auction_P1119[[#This Row],[Sl No]])</f>
        <v>2</v>
      </c>
      <c r="W21" s="2"/>
      <c r="X21" s="2"/>
      <c r="Y21" s="2"/>
      <c r="Z21" s="2"/>
      <c r="AA21" s="2"/>
    </row>
    <row r="22" spans="1:27" x14ac:dyDescent="0.3">
      <c r="A22" s="2">
        <f>ROWS($A$20:Auction_P1115[[#This Row],[Sl No]])</f>
        <v>3</v>
      </c>
      <c r="B22" s="59" t="s">
        <v>46</v>
      </c>
      <c r="C22" s="2" t="s">
        <v>64</v>
      </c>
      <c r="D22" s="59" t="s">
        <v>48</v>
      </c>
      <c r="E22" s="59" t="s">
        <v>54</v>
      </c>
      <c r="F22" s="59">
        <v>30</v>
      </c>
      <c r="G22" s="2"/>
      <c r="H22" s="2">
        <f>ROWS($A$20:Auction_P1116[[#This Row],[Sl No]])</f>
        <v>3</v>
      </c>
      <c r="I22" s="59" t="s">
        <v>52</v>
      </c>
      <c r="J22" s="44" t="s">
        <v>74</v>
      </c>
      <c r="K22" s="79" t="s">
        <v>48</v>
      </c>
      <c r="L22" s="79" t="s">
        <v>51</v>
      </c>
      <c r="M22" s="59">
        <v>55</v>
      </c>
      <c r="N22" s="2"/>
      <c r="O22" s="2">
        <f>ROWS($A$20:Auction_P1117[[#This Row],[Sl No]])</f>
        <v>3</v>
      </c>
      <c r="P22" s="2"/>
      <c r="Q22" s="2"/>
      <c r="R22" s="2"/>
      <c r="S22" s="2"/>
      <c r="T22" s="2"/>
      <c r="U22" s="2"/>
      <c r="V22" s="2">
        <f>ROWS($A$20:Auction_P1119[[#This Row],[Sl No]])</f>
        <v>3</v>
      </c>
      <c r="W22" s="2"/>
      <c r="X22" s="2"/>
      <c r="Y22" s="2"/>
      <c r="Z22" s="2"/>
      <c r="AA22" s="2"/>
    </row>
    <row r="23" spans="1:27" x14ac:dyDescent="0.3">
      <c r="A23" s="2">
        <f>ROWS($A$20:Auction_P1115[[#This Row],[Sl No]])</f>
        <v>4</v>
      </c>
      <c r="B23" s="59" t="s">
        <v>46</v>
      </c>
      <c r="C23" s="2" t="s">
        <v>65</v>
      </c>
      <c r="D23" s="59" t="s">
        <v>48</v>
      </c>
      <c r="E23" s="59"/>
      <c r="F23" s="59">
        <v>15</v>
      </c>
      <c r="G23" s="2"/>
      <c r="H23" s="2">
        <f>ROWS($A$20:Auction_P1116[[#This Row],[Sl No]])</f>
        <v>4</v>
      </c>
      <c r="I23" s="59" t="s">
        <v>46</v>
      </c>
      <c r="J23" s="44" t="s">
        <v>79</v>
      </c>
      <c r="K23" s="79" t="s">
        <v>48</v>
      </c>
      <c r="L23" s="79" t="s">
        <v>54</v>
      </c>
      <c r="M23" s="59">
        <v>20</v>
      </c>
      <c r="N23" s="2"/>
      <c r="O23" s="2">
        <f>ROWS($A$20:Auction_P1117[[#This Row],[Sl No]])</f>
        <v>4</v>
      </c>
      <c r="P23" s="2"/>
      <c r="Q23" s="2"/>
      <c r="R23" s="2"/>
      <c r="S23" s="2"/>
      <c r="T23" s="2"/>
      <c r="U23" s="2"/>
      <c r="V23" s="2">
        <f>ROWS($A$20:Auction_P1119[[#This Row],[Sl No]])</f>
        <v>4</v>
      </c>
      <c r="W23" s="2"/>
      <c r="X23" s="2"/>
      <c r="Y23" s="2"/>
      <c r="Z23" s="2"/>
      <c r="AA23" s="2"/>
    </row>
    <row r="24" spans="1:27" x14ac:dyDescent="0.3">
      <c r="A24" s="2">
        <f>ROWS($A$20:Auction_P1115[[#This Row],[Sl No]])</f>
        <v>5</v>
      </c>
      <c r="B24" s="59" t="s">
        <v>52</v>
      </c>
      <c r="C24" s="2" t="s">
        <v>75</v>
      </c>
      <c r="D24" s="79" t="s">
        <v>48</v>
      </c>
      <c r="E24" s="79" t="s">
        <v>54</v>
      </c>
      <c r="F24" s="59">
        <v>80</v>
      </c>
      <c r="G24" s="2"/>
      <c r="H24" s="2">
        <f>ROWS($A$20:Auction_P1116[[#This Row],[Sl No]])</f>
        <v>5</v>
      </c>
      <c r="I24" s="2" t="s">
        <v>46</v>
      </c>
      <c r="J24" s="44" t="s">
        <v>86</v>
      </c>
      <c r="K24" s="45" t="s">
        <v>48</v>
      </c>
      <c r="L24" s="45"/>
      <c r="M24" s="2">
        <v>20</v>
      </c>
      <c r="N24" s="2"/>
      <c r="O24" s="2">
        <f>ROWS($A$20:Auction_P1117[[#This Row],[Sl No]])</f>
        <v>5</v>
      </c>
      <c r="P24" s="2"/>
      <c r="Q24" s="2"/>
      <c r="R24" s="2"/>
      <c r="S24" s="2"/>
      <c r="T24" s="2"/>
      <c r="U24" s="2"/>
      <c r="V24" s="2">
        <f>ROWS($A$20:Auction_P1119[[#This Row],[Sl No]])</f>
        <v>5</v>
      </c>
      <c r="W24" s="2"/>
      <c r="X24" s="2"/>
      <c r="Y24" s="2"/>
      <c r="Z24" s="2"/>
      <c r="AA24" s="2"/>
    </row>
    <row r="25" spans="1:27" x14ac:dyDescent="0.3">
      <c r="A25" s="2">
        <f>ROWS($A$20:Auction_P1115[[#This Row],[Sl No]])</f>
        <v>6</v>
      </c>
      <c r="B25" s="59" t="s">
        <v>49</v>
      </c>
      <c r="C25" s="2" t="s">
        <v>90</v>
      </c>
      <c r="D25" s="79" t="s">
        <v>48</v>
      </c>
      <c r="E25" s="79" t="s">
        <v>51</v>
      </c>
      <c r="F25" s="59">
        <v>30</v>
      </c>
      <c r="G25" s="2"/>
      <c r="H25" s="2">
        <f>ROWS($A$20:Auction_P1116[[#This Row],[Sl No]])</f>
        <v>6</v>
      </c>
      <c r="I25" s="59" t="s">
        <v>49</v>
      </c>
      <c r="J25" s="59" t="s">
        <v>89</v>
      </c>
      <c r="K25" s="59" t="s">
        <v>48</v>
      </c>
      <c r="L25" s="79" t="s">
        <v>54</v>
      </c>
      <c r="M25" s="59">
        <v>45</v>
      </c>
      <c r="N25" s="2"/>
      <c r="O25" s="2">
        <f>ROWS($A$20:Auction_P1117[[#This Row],[Sl No]])</f>
        <v>6</v>
      </c>
      <c r="P25" s="2"/>
      <c r="Q25" s="2"/>
      <c r="R25" s="2"/>
      <c r="S25" s="2"/>
      <c r="T25" s="2"/>
      <c r="U25" s="2"/>
      <c r="V25" s="2">
        <f>ROWS($A$20:Auction_P1119[[#This Row],[Sl No]])</f>
        <v>6</v>
      </c>
      <c r="W25" s="2"/>
      <c r="X25" s="2"/>
      <c r="Y25" s="2"/>
      <c r="Z25" s="2"/>
      <c r="AA25" s="2"/>
    </row>
    <row r="26" spans="1:27" x14ac:dyDescent="0.3">
      <c r="A26" s="2">
        <f>ROWS($A$20:Auction_P1115[[#This Row],[Sl No]])</f>
        <v>7</v>
      </c>
      <c r="B26" s="2"/>
      <c r="C26" s="2"/>
      <c r="D26" s="2"/>
      <c r="E26" s="2"/>
      <c r="F26" s="2"/>
      <c r="G26" s="2"/>
      <c r="H26" s="2">
        <f>ROWS($A$20:Auction_P1116[[#This Row],[Sl No]])</f>
        <v>7</v>
      </c>
      <c r="I26" s="2"/>
      <c r="J26" s="2"/>
      <c r="K26" s="2"/>
      <c r="L26" s="2"/>
      <c r="M26" s="2"/>
      <c r="N26" s="2"/>
      <c r="O26" s="2">
        <f>ROWS($A$20:Auction_P1117[[#This Row],[Sl No]])</f>
        <v>7</v>
      </c>
      <c r="P26" s="2"/>
      <c r="Q26" s="2"/>
      <c r="R26" s="2"/>
      <c r="S26" s="2"/>
      <c r="T26" s="2"/>
      <c r="U26" s="2"/>
      <c r="V26" s="2">
        <f>ROWS($A$20:Auction_P1119[[#This Row],[Sl No]])</f>
        <v>7</v>
      </c>
      <c r="W26" s="2"/>
      <c r="X26" s="2"/>
      <c r="Y26" s="2"/>
      <c r="Z26" s="2"/>
      <c r="AA26" s="2"/>
    </row>
    <row r="27" spans="1:27" x14ac:dyDescent="0.3">
      <c r="A27" s="2">
        <f>ROWS($A$20:Auction_P1115[[#This Row],[Sl No]])</f>
        <v>8</v>
      </c>
      <c r="B27" s="2"/>
      <c r="C27" s="2"/>
      <c r="D27" s="2"/>
      <c r="E27" s="2"/>
      <c r="F27" s="2"/>
      <c r="G27" s="2"/>
      <c r="H27" s="2">
        <f>ROWS($A$20:Auction_P1116[[#This Row],[Sl No]])</f>
        <v>8</v>
      </c>
      <c r="I27" s="2"/>
      <c r="J27" s="2"/>
      <c r="K27" s="2"/>
      <c r="L27" s="2"/>
      <c r="M27" s="2"/>
      <c r="N27" s="2"/>
      <c r="O27" s="2">
        <f>ROWS($A$20:Auction_P1117[[#This Row],[Sl No]])</f>
        <v>8</v>
      </c>
      <c r="P27" s="2"/>
      <c r="Q27" s="2"/>
      <c r="R27" s="2"/>
      <c r="S27" s="2"/>
      <c r="T27" s="2"/>
      <c r="U27" s="2"/>
      <c r="V27" s="2">
        <f>ROWS($A$20:Auction_P1119[[#This Row],[Sl No]])</f>
        <v>8</v>
      </c>
      <c r="W27" s="2"/>
      <c r="X27" s="2"/>
      <c r="Y27" s="2"/>
      <c r="Z27" s="2"/>
      <c r="AA27" s="2"/>
    </row>
    <row r="28" spans="1:27" x14ac:dyDescent="0.3">
      <c r="A28" s="2">
        <f>ROWS($A$20:Auction_P1115[[#This Row],[Sl No]])</f>
        <v>9</v>
      </c>
      <c r="B28" s="2"/>
      <c r="C28" s="2"/>
      <c r="D28" s="2"/>
      <c r="E28" s="2"/>
      <c r="F28" s="2"/>
      <c r="G28" s="2"/>
      <c r="H28" s="2">
        <f>ROWS($A$20:Auction_P1116[[#This Row],[Sl No]])</f>
        <v>9</v>
      </c>
      <c r="I28" s="2"/>
      <c r="J28" s="2"/>
      <c r="K28" s="2"/>
      <c r="L28" s="2"/>
      <c r="M28" s="2"/>
      <c r="N28" s="2"/>
      <c r="O28" s="2">
        <f>ROWS($A$20:Auction_P1117[[#This Row],[Sl No]])</f>
        <v>9</v>
      </c>
      <c r="P28" s="2"/>
      <c r="Q28" s="2"/>
      <c r="R28" s="2"/>
      <c r="S28" s="2"/>
      <c r="T28" s="2"/>
      <c r="U28" s="2"/>
      <c r="V28" s="2">
        <f>ROWS($A$20:Auction_P1119[[#This Row],[Sl No]])</f>
        <v>9</v>
      </c>
      <c r="W28" s="2"/>
      <c r="X28" s="2"/>
      <c r="Y28" s="2"/>
      <c r="Z28" s="2"/>
      <c r="AA28" s="2"/>
    </row>
    <row r="29" spans="1:27" x14ac:dyDescent="0.3">
      <c r="A29" s="2">
        <f>ROWS($A$20:Auction_P1115[[#This Row],[Sl No]])</f>
        <v>10</v>
      </c>
      <c r="B29" s="2"/>
      <c r="C29" s="2"/>
      <c r="D29" s="2"/>
      <c r="E29" s="2"/>
      <c r="F29" s="2"/>
      <c r="G29" s="2"/>
      <c r="H29" s="2">
        <f>ROWS($A$20:Auction_P1116[[#This Row],[Sl No]])</f>
        <v>10</v>
      </c>
      <c r="I29" s="2"/>
      <c r="J29" s="2"/>
      <c r="K29" s="2"/>
      <c r="L29" s="2"/>
      <c r="M29" s="2"/>
      <c r="N29" s="2"/>
      <c r="O29" s="2">
        <f>ROWS($A$20:Auction_P1117[[#This Row],[Sl No]])</f>
        <v>10</v>
      </c>
      <c r="P29" s="2"/>
      <c r="Q29" s="2"/>
      <c r="R29" s="2"/>
      <c r="S29" s="2"/>
      <c r="T29" s="2"/>
      <c r="U29" s="2"/>
      <c r="V29" s="2">
        <f>ROWS($A$20:Auction_P1119[[#This Row],[Sl No]])</f>
        <v>10</v>
      </c>
      <c r="W29" s="2"/>
      <c r="X29" s="2"/>
      <c r="Y29" s="2"/>
      <c r="Z29" s="2"/>
      <c r="AA29" s="2"/>
    </row>
    <row r="30" spans="1:27" x14ac:dyDescent="0.3">
      <c r="A30" s="42"/>
      <c r="B30" s="2"/>
      <c r="C30" s="2"/>
      <c r="D30" s="2"/>
      <c r="E30" s="2"/>
      <c r="F30" s="2"/>
    </row>
  </sheetData>
  <mergeCells count="8">
    <mergeCell ref="C1:D3"/>
    <mergeCell ref="J1:K3"/>
    <mergeCell ref="Q1:R3"/>
    <mergeCell ref="X1:Y3"/>
    <mergeCell ref="C16:D18"/>
    <mergeCell ref="J16:K18"/>
    <mergeCell ref="Q16:R18"/>
    <mergeCell ref="X16:Y18"/>
  </mergeCell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765F2-1B5B-4A2D-A873-E8B2D277691F}">
  <sheetPr codeName="Sheet5"/>
  <dimension ref="B2:G107"/>
  <sheetViews>
    <sheetView showRowColHeaders="0" zoomScale="120" zoomScaleNormal="120" workbookViewId="0">
      <selection activeCell="E116" sqref="E116"/>
    </sheetView>
  </sheetViews>
  <sheetFormatPr defaultRowHeight="15.05" x14ac:dyDescent="0.3"/>
  <cols>
    <col min="2" max="2" width="7.21875" style="43" customWidth="1"/>
    <col min="3" max="3" width="8.109375" style="43" customWidth="1"/>
    <col min="4" max="4" width="24.6640625" style="43" customWidth="1"/>
    <col min="5" max="5" width="13.77734375" style="43" customWidth="1"/>
    <col min="6" max="6" width="24.6640625" style="43" customWidth="1"/>
    <col min="7" max="7" width="12" style="43" customWidth="1"/>
  </cols>
  <sheetData>
    <row r="2" spans="2:7" x14ac:dyDescent="0.3">
      <c r="B2" s="49" t="s">
        <v>0</v>
      </c>
      <c r="C2" s="49" t="s">
        <v>1</v>
      </c>
      <c r="D2" s="49" t="s">
        <v>2</v>
      </c>
      <c r="E2" s="49" t="s">
        <v>3</v>
      </c>
      <c r="F2" s="49" t="s">
        <v>4</v>
      </c>
      <c r="G2" s="49" t="s">
        <v>5</v>
      </c>
    </row>
    <row r="3" spans="2:7" x14ac:dyDescent="0.3">
      <c r="B3">
        <f>ROWS($B$3:All_p[[#This Row],[Sl No]])-2</f>
        <v>-1</v>
      </c>
      <c r="C3">
        <v>0</v>
      </c>
      <c r="D3">
        <v>0</v>
      </c>
      <c r="E3">
        <v>0</v>
      </c>
      <c r="F3">
        <v>0</v>
      </c>
      <c r="G3">
        <v>0</v>
      </c>
    </row>
    <row r="4" spans="2:7" x14ac:dyDescent="0.3">
      <c r="B4">
        <f>ROWS($B$3:All_p[[#This Row],[Sl No]])-2</f>
        <v>0</v>
      </c>
      <c r="C4"/>
      <c r="D4"/>
      <c r="E4"/>
      <c r="F4"/>
      <c r="G4"/>
    </row>
    <row r="5" spans="2:7" x14ac:dyDescent="0.3">
      <c r="B5">
        <f>ROWS($B$3:All_p[[#This Row],[Sl No]])-2</f>
        <v>1</v>
      </c>
      <c r="C5"/>
      <c r="D5"/>
      <c r="E5"/>
      <c r="F5"/>
      <c r="G5"/>
    </row>
    <row r="6" spans="2:7" x14ac:dyDescent="0.3">
      <c r="B6">
        <f>ROWS($B$3:All_p[[#This Row],[Sl No]])-2</f>
        <v>2</v>
      </c>
      <c r="C6"/>
      <c r="D6"/>
      <c r="E6"/>
      <c r="F6"/>
      <c r="G6"/>
    </row>
    <row r="7" spans="2:7" x14ac:dyDescent="0.3">
      <c r="B7">
        <f>ROWS($B$3:All_p[[#This Row],[Sl No]])-2</f>
        <v>3</v>
      </c>
      <c r="C7"/>
      <c r="D7"/>
      <c r="E7"/>
      <c r="F7"/>
      <c r="G7"/>
    </row>
    <row r="8" spans="2:7" x14ac:dyDescent="0.3">
      <c r="B8">
        <f>ROWS($B$3:All_p[[#This Row],[Sl No]])-2</f>
        <v>4</v>
      </c>
      <c r="C8"/>
      <c r="D8"/>
      <c r="E8"/>
      <c r="F8"/>
      <c r="G8"/>
    </row>
    <row r="9" spans="2:7" x14ac:dyDescent="0.3">
      <c r="B9">
        <f>ROWS($B$3:All_p[[#This Row],[Sl No]])-2</f>
        <v>5</v>
      </c>
      <c r="C9"/>
      <c r="D9"/>
      <c r="E9"/>
      <c r="F9"/>
      <c r="G9"/>
    </row>
    <row r="10" spans="2:7" x14ac:dyDescent="0.3">
      <c r="B10">
        <f>ROWS($B$3:All_p[[#This Row],[Sl No]])-2</f>
        <v>6</v>
      </c>
      <c r="C10"/>
      <c r="D10"/>
      <c r="E10"/>
      <c r="F10"/>
      <c r="G10"/>
    </row>
    <row r="11" spans="2:7" x14ac:dyDescent="0.3">
      <c r="B11">
        <f>ROWS($B$3:All_p[[#This Row],[Sl No]])-2</f>
        <v>7</v>
      </c>
      <c r="C11"/>
      <c r="D11"/>
      <c r="E11"/>
      <c r="F11"/>
      <c r="G11"/>
    </row>
    <row r="12" spans="2:7" x14ac:dyDescent="0.3">
      <c r="B12">
        <f>ROWS($B$3:All_p[[#This Row],[Sl No]])-2</f>
        <v>8</v>
      </c>
      <c r="C12"/>
      <c r="D12"/>
      <c r="E12"/>
      <c r="F12"/>
      <c r="G12"/>
    </row>
    <row r="13" spans="2:7" x14ac:dyDescent="0.3">
      <c r="B13">
        <f>ROWS($B$3:All_p[[#This Row],[Sl No]])-2</f>
        <v>9</v>
      </c>
      <c r="C13"/>
      <c r="D13"/>
      <c r="E13"/>
      <c r="F13"/>
      <c r="G13"/>
    </row>
    <row r="14" spans="2:7" x14ac:dyDescent="0.3">
      <c r="B14">
        <f>ROWS($B$3:All_p[[#This Row],[Sl No]])-2</f>
        <v>10</v>
      </c>
      <c r="C14"/>
      <c r="D14"/>
      <c r="E14"/>
      <c r="F14"/>
      <c r="G14"/>
    </row>
    <row r="15" spans="2:7" x14ac:dyDescent="0.3">
      <c r="B15">
        <f>ROWS($B$3:All_p[[#This Row],[Sl No]])-2</f>
        <v>11</v>
      </c>
      <c r="C15"/>
      <c r="D15"/>
      <c r="E15"/>
      <c r="F15"/>
      <c r="G15"/>
    </row>
    <row r="16" spans="2:7" x14ac:dyDescent="0.3">
      <c r="B16">
        <f>ROWS($B$3:All_p[[#This Row],[Sl No]])-2</f>
        <v>12</v>
      </c>
      <c r="C16"/>
      <c r="D16"/>
      <c r="E16"/>
      <c r="F16"/>
      <c r="G16"/>
    </row>
    <row r="17" spans="2:7" x14ac:dyDescent="0.3">
      <c r="B17">
        <f>ROWS($B$3:All_p[[#This Row],[Sl No]])-2</f>
        <v>13</v>
      </c>
      <c r="C17"/>
      <c r="D17"/>
      <c r="E17"/>
      <c r="F17"/>
      <c r="G17"/>
    </row>
    <row r="18" spans="2:7" x14ac:dyDescent="0.3">
      <c r="B18">
        <f>ROWS($B$3:All_p[[#This Row],[Sl No]])-2</f>
        <v>14</v>
      </c>
      <c r="C18"/>
      <c r="D18"/>
      <c r="E18"/>
      <c r="F18"/>
      <c r="G18"/>
    </row>
    <row r="19" spans="2:7" x14ac:dyDescent="0.3">
      <c r="B19">
        <f>ROWS($B$3:All_p[[#This Row],[Sl No]])-2</f>
        <v>15</v>
      </c>
      <c r="C19"/>
      <c r="D19"/>
      <c r="E19"/>
      <c r="F19"/>
      <c r="G19"/>
    </row>
    <row r="20" spans="2:7" x14ac:dyDescent="0.3">
      <c r="B20">
        <f>ROWS($B$3:All_p[[#This Row],[Sl No]])-2</f>
        <v>16</v>
      </c>
      <c r="C20"/>
      <c r="D20"/>
      <c r="E20"/>
      <c r="F20"/>
      <c r="G20"/>
    </row>
    <row r="21" spans="2:7" x14ac:dyDescent="0.3">
      <c r="B21">
        <f>ROWS($B$3:All_p[[#This Row],[Sl No]])-2</f>
        <v>17</v>
      </c>
      <c r="C21"/>
      <c r="D21"/>
      <c r="E21"/>
      <c r="F21"/>
      <c r="G21"/>
    </row>
    <row r="22" spans="2:7" x14ac:dyDescent="0.3">
      <c r="B22">
        <f>ROWS($B$3:All_p[[#This Row],[Sl No]])-2</f>
        <v>18</v>
      </c>
      <c r="C22"/>
      <c r="D22"/>
      <c r="E22"/>
      <c r="F22"/>
      <c r="G22"/>
    </row>
    <row r="23" spans="2:7" x14ac:dyDescent="0.3">
      <c r="B23">
        <f>ROWS($B$3:All_p[[#This Row],[Sl No]])-2</f>
        <v>19</v>
      </c>
      <c r="C23"/>
      <c r="D23"/>
      <c r="E23"/>
      <c r="F23"/>
      <c r="G23"/>
    </row>
    <row r="24" spans="2:7" x14ac:dyDescent="0.3">
      <c r="B24">
        <f>ROWS($B$3:All_p[[#This Row],[Sl No]])-2</f>
        <v>20</v>
      </c>
      <c r="C24"/>
      <c r="D24"/>
      <c r="E24"/>
      <c r="F24"/>
      <c r="G24"/>
    </row>
    <row r="25" spans="2:7" x14ac:dyDescent="0.3">
      <c r="B25">
        <f>ROWS($B$3:All_p[[#This Row],[Sl No]])-2</f>
        <v>21</v>
      </c>
      <c r="C25"/>
      <c r="D25"/>
      <c r="E25"/>
      <c r="F25"/>
      <c r="G25"/>
    </row>
    <row r="26" spans="2:7" x14ac:dyDescent="0.3">
      <c r="B26">
        <f>ROWS($B$3:All_p[[#This Row],[Sl No]])-2</f>
        <v>22</v>
      </c>
      <c r="C26"/>
      <c r="D26"/>
      <c r="E26"/>
      <c r="F26"/>
      <c r="G26"/>
    </row>
    <row r="27" spans="2:7" x14ac:dyDescent="0.3">
      <c r="B27">
        <f>ROWS($B$3:All_p[[#This Row],[Sl No]])-2</f>
        <v>23</v>
      </c>
      <c r="C27"/>
      <c r="D27"/>
      <c r="E27"/>
      <c r="F27"/>
      <c r="G27"/>
    </row>
    <row r="28" spans="2:7" x14ac:dyDescent="0.3">
      <c r="B28">
        <f>ROWS($B$3:All_p[[#This Row],[Sl No]])-2</f>
        <v>24</v>
      </c>
      <c r="C28"/>
      <c r="D28"/>
      <c r="E28"/>
      <c r="F28"/>
      <c r="G28"/>
    </row>
    <row r="29" spans="2:7" x14ac:dyDescent="0.3">
      <c r="B29">
        <f>ROWS($B$3:All_p[[#This Row],[Sl No]])-2</f>
        <v>25</v>
      </c>
      <c r="C29"/>
      <c r="D29"/>
      <c r="E29"/>
      <c r="F29"/>
      <c r="G29"/>
    </row>
    <row r="30" spans="2:7" x14ac:dyDescent="0.3">
      <c r="B30">
        <f>ROWS($B$3:All_p[[#This Row],[Sl No]])-2</f>
        <v>26</v>
      </c>
      <c r="C30"/>
      <c r="D30"/>
      <c r="E30"/>
      <c r="F30"/>
      <c r="G30"/>
    </row>
    <row r="31" spans="2:7" x14ac:dyDescent="0.3">
      <c r="B31">
        <f>ROWS($B$3:All_p[[#This Row],[Sl No]])-2</f>
        <v>27</v>
      </c>
      <c r="C31"/>
      <c r="D31"/>
      <c r="E31"/>
      <c r="F31"/>
      <c r="G31"/>
    </row>
    <row r="32" spans="2:7" x14ac:dyDescent="0.3">
      <c r="B32">
        <f>ROWS($B$3:All_p[[#This Row],[Sl No]])-2</f>
        <v>28</v>
      </c>
      <c r="C32"/>
      <c r="D32"/>
      <c r="E32"/>
      <c r="F32"/>
      <c r="G32"/>
    </row>
    <row r="33" spans="2:7" x14ac:dyDescent="0.3">
      <c r="B33">
        <f>ROWS($B$3:All_p[[#This Row],[Sl No]])-2</f>
        <v>29</v>
      </c>
      <c r="C33"/>
      <c r="D33"/>
      <c r="E33"/>
      <c r="F33"/>
      <c r="G33"/>
    </row>
    <row r="34" spans="2:7" x14ac:dyDescent="0.3">
      <c r="B34">
        <f>ROWS($B$3:All_p[[#This Row],[Sl No]])-2</f>
        <v>30</v>
      </c>
      <c r="C34"/>
      <c r="D34"/>
      <c r="E34"/>
      <c r="F34"/>
      <c r="G34"/>
    </row>
    <row r="35" spans="2:7" x14ac:dyDescent="0.3">
      <c r="B35">
        <f>ROWS($B$3:All_p[[#This Row],[Sl No]])-2</f>
        <v>31</v>
      </c>
      <c r="C35"/>
      <c r="D35"/>
      <c r="E35"/>
      <c r="F35"/>
      <c r="G35"/>
    </row>
    <row r="36" spans="2:7" x14ac:dyDescent="0.3">
      <c r="B36">
        <f>ROWS($B$3:All_p[[#This Row],[Sl No]])-2</f>
        <v>32</v>
      </c>
      <c r="C36"/>
      <c r="D36"/>
      <c r="E36"/>
      <c r="F36"/>
      <c r="G36"/>
    </row>
    <row r="37" spans="2:7" x14ac:dyDescent="0.3">
      <c r="B37">
        <f>ROWS($B$3:All_p[[#This Row],[Sl No]])-2</f>
        <v>33</v>
      </c>
      <c r="C37"/>
      <c r="D37"/>
      <c r="E37"/>
      <c r="F37"/>
      <c r="G37"/>
    </row>
    <row r="38" spans="2:7" x14ac:dyDescent="0.3">
      <c r="B38">
        <f>ROWS($B$3:All_p[[#This Row],[Sl No]])-2</f>
        <v>34</v>
      </c>
      <c r="C38"/>
      <c r="D38"/>
      <c r="E38"/>
      <c r="F38"/>
      <c r="G38"/>
    </row>
    <row r="39" spans="2:7" x14ac:dyDescent="0.3">
      <c r="B39">
        <f>ROWS($B$3:All_p[[#This Row],[Sl No]])-2</f>
        <v>35</v>
      </c>
      <c r="C39"/>
      <c r="D39"/>
      <c r="E39"/>
      <c r="F39"/>
      <c r="G39"/>
    </row>
    <row r="40" spans="2:7" x14ac:dyDescent="0.3">
      <c r="B40">
        <f>ROWS($B$3:All_p[[#This Row],[Sl No]])-2</f>
        <v>36</v>
      </c>
      <c r="C40"/>
      <c r="D40"/>
      <c r="E40"/>
      <c r="F40"/>
      <c r="G40"/>
    </row>
    <row r="41" spans="2:7" x14ac:dyDescent="0.3">
      <c r="B41">
        <f>ROWS($B$3:All_p[[#This Row],[Sl No]])-2</f>
        <v>37</v>
      </c>
      <c r="C41"/>
      <c r="D41"/>
      <c r="E41"/>
      <c r="F41"/>
      <c r="G41"/>
    </row>
    <row r="42" spans="2:7" x14ac:dyDescent="0.3">
      <c r="B42">
        <f>ROWS($B$3:All_p[[#This Row],[Sl No]])-2</f>
        <v>38</v>
      </c>
      <c r="C42"/>
      <c r="D42"/>
      <c r="E42"/>
      <c r="F42"/>
      <c r="G42"/>
    </row>
    <row r="43" spans="2:7" x14ac:dyDescent="0.3">
      <c r="B43">
        <f>ROWS($B$3:All_p[[#This Row],[Sl No]])-2</f>
        <v>39</v>
      </c>
      <c r="C43"/>
      <c r="D43"/>
      <c r="E43"/>
      <c r="F43"/>
      <c r="G43"/>
    </row>
    <row r="44" spans="2:7" x14ac:dyDescent="0.3">
      <c r="B44">
        <f>ROWS($B$3:All_p[[#This Row],[Sl No]])-2</f>
        <v>40</v>
      </c>
      <c r="C44"/>
      <c r="D44"/>
      <c r="E44"/>
      <c r="F44"/>
      <c r="G44"/>
    </row>
    <row r="45" spans="2:7" x14ac:dyDescent="0.3">
      <c r="B45">
        <f>ROWS($B$3:All_p[[#This Row],[Sl No]])-2</f>
        <v>41</v>
      </c>
      <c r="C45"/>
      <c r="D45"/>
      <c r="E45"/>
      <c r="F45"/>
      <c r="G45"/>
    </row>
    <row r="46" spans="2:7" x14ac:dyDescent="0.3">
      <c r="B46">
        <f>ROWS($B$3:All_p[[#This Row],[Sl No]])-2</f>
        <v>42</v>
      </c>
      <c r="C46"/>
      <c r="D46"/>
      <c r="E46"/>
      <c r="F46"/>
      <c r="G46"/>
    </row>
    <row r="47" spans="2:7" x14ac:dyDescent="0.3">
      <c r="B47">
        <f>ROWS($B$3:All_p[[#This Row],[Sl No]])-2</f>
        <v>43</v>
      </c>
      <c r="C47"/>
      <c r="D47"/>
      <c r="E47"/>
      <c r="F47"/>
      <c r="G47"/>
    </row>
    <row r="48" spans="2:7" x14ac:dyDescent="0.3">
      <c r="B48">
        <f>ROWS($B$3:All_p[[#This Row],[Sl No]])-2</f>
        <v>44</v>
      </c>
      <c r="C48"/>
      <c r="D48"/>
      <c r="E48"/>
      <c r="F48"/>
      <c r="G48"/>
    </row>
    <row r="49" spans="2:7" x14ac:dyDescent="0.3">
      <c r="B49">
        <f>ROWS($B$3:All_p[[#This Row],[Sl No]])-2</f>
        <v>45</v>
      </c>
      <c r="C49"/>
      <c r="D49"/>
      <c r="E49"/>
      <c r="F49"/>
      <c r="G49"/>
    </row>
    <row r="50" spans="2:7" x14ac:dyDescent="0.3">
      <c r="B50">
        <f>ROWS($B$3:All_p[[#This Row],[Sl No]])-2</f>
        <v>46</v>
      </c>
      <c r="C50"/>
      <c r="D50"/>
      <c r="E50"/>
      <c r="F50"/>
      <c r="G50"/>
    </row>
    <row r="51" spans="2:7" x14ac:dyDescent="0.3">
      <c r="B51">
        <f>ROWS($B$3:All_p[[#This Row],[Sl No]])-2</f>
        <v>47</v>
      </c>
      <c r="C51"/>
      <c r="D51"/>
      <c r="E51"/>
      <c r="F51"/>
      <c r="G51"/>
    </row>
    <row r="52" spans="2:7" x14ac:dyDescent="0.3">
      <c r="B52">
        <f>ROWS($B$3:All_p[[#This Row],[Sl No]])-2</f>
        <v>48</v>
      </c>
      <c r="C52"/>
      <c r="D52"/>
      <c r="E52"/>
      <c r="F52"/>
      <c r="G52"/>
    </row>
    <row r="53" spans="2:7" x14ac:dyDescent="0.3">
      <c r="B53">
        <f>ROWS($B$3:All_p[[#This Row],[Sl No]])-2</f>
        <v>49</v>
      </c>
      <c r="C53"/>
      <c r="D53"/>
      <c r="E53"/>
      <c r="F53"/>
      <c r="G53"/>
    </row>
    <row r="54" spans="2:7" x14ac:dyDescent="0.3">
      <c r="B54">
        <f>ROWS($B$3:All_p[[#This Row],[Sl No]])-2</f>
        <v>50</v>
      </c>
      <c r="C54"/>
      <c r="D54"/>
      <c r="E54"/>
      <c r="F54"/>
      <c r="G54"/>
    </row>
    <row r="55" spans="2:7" x14ac:dyDescent="0.3">
      <c r="B55">
        <f>ROWS($B$3:All_p[[#This Row],[Sl No]])-2</f>
        <v>51</v>
      </c>
      <c r="C55"/>
      <c r="D55"/>
      <c r="E55"/>
      <c r="F55"/>
      <c r="G55"/>
    </row>
    <row r="56" spans="2:7" x14ac:dyDescent="0.3">
      <c r="B56">
        <f>ROWS($B$3:All_p[[#This Row],[Sl No]])-2</f>
        <v>52</v>
      </c>
      <c r="C56"/>
      <c r="D56"/>
      <c r="E56"/>
      <c r="F56"/>
      <c r="G56"/>
    </row>
    <row r="57" spans="2:7" x14ac:dyDescent="0.3">
      <c r="B57">
        <f>ROWS($B$3:All_p[[#This Row],[Sl No]])-2</f>
        <v>53</v>
      </c>
      <c r="C57"/>
      <c r="D57"/>
      <c r="E57"/>
      <c r="F57"/>
      <c r="G57"/>
    </row>
    <row r="58" spans="2:7" x14ac:dyDescent="0.3">
      <c r="B58">
        <f>ROWS($B$3:All_p[[#This Row],[Sl No]])-2</f>
        <v>54</v>
      </c>
      <c r="C58"/>
      <c r="D58"/>
      <c r="E58"/>
      <c r="F58"/>
      <c r="G58"/>
    </row>
    <row r="59" spans="2:7" x14ac:dyDescent="0.3">
      <c r="B59">
        <f>ROWS($B$3:All_p[[#This Row],[Sl No]])-2</f>
        <v>55</v>
      </c>
      <c r="C59"/>
      <c r="D59"/>
      <c r="E59"/>
      <c r="F59"/>
      <c r="G59"/>
    </row>
    <row r="60" spans="2:7" x14ac:dyDescent="0.3">
      <c r="B60">
        <f>ROWS($B$3:All_p[[#This Row],[Sl No]])-2</f>
        <v>56</v>
      </c>
      <c r="C60"/>
      <c r="D60"/>
      <c r="E60"/>
      <c r="F60"/>
      <c r="G60"/>
    </row>
    <row r="61" spans="2:7" x14ac:dyDescent="0.3">
      <c r="B61">
        <f>ROWS($B$3:All_p[[#This Row],[Sl No]])-2</f>
        <v>57</v>
      </c>
      <c r="C61"/>
      <c r="D61"/>
      <c r="E61"/>
      <c r="F61"/>
      <c r="G61"/>
    </row>
    <row r="62" spans="2:7" x14ac:dyDescent="0.3">
      <c r="B62">
        <f>ROWS($B$3:All_p[[#This Row],[Sl No]])-2</f>
        <v>58</v>
      </c>
      <c r="C62"/>
      <c r="D62"/>
      <c r="E62"/>
      <c r="F62"/>
      <c r="G62"/>
    </row>
    <row r="63" spans="2:7" x14ac:dyDescent="0.3">
      <c r="B63">
        <f>ROWS($B$3:All_p[[#This Row],[Sl No]])-2</f>
        <v>59</v>
      </c>
      <c r="C63"/>
      <c r="D63"/>
      <c r="E63"/>
      <c r="F63"/>
      <c r="G63"/>
    </row>
    <row r="64" spans="2:7" x14ac:dyDescent="0.3">
      <c r="B64">
        <f>ROWS($B$3:All_p[[#This Row],[Sl No]])-2</f>
        <v>60</v>
      </c>
      <c r="C64"/>
      <c r="D64"/>
      <c r="E64"/>
      <c r="F64"/>
      <c r="G64"/>
    </row>
    <row r="65" spans="2:7" x14ac:dyDescent="0.3">
      <c r="B65">
        <f>ROWS($B$3:All_p[[#This Row],[Sl No]])-2</f>
        <v>61</v>
      </c>
      <c r="C65"/>
      <c r="D65"/>
      <c r="E65"/>
      <c r="F65"/>
      <c r="G65"/>
    </row>
    <row r="66" spans="2:7" x14ac:dyDescent="0.3">
      <c r="B66">
        <f>ROWS($B$3:All_p[[#This Row],[Sl No]])-2</f>
        <v>62</v>
      </c>
      <c r="C66"/>
      <c r="D66"/>
      <c r="E66"/>
      <c r="F66"/>
      <c r="G66"/>
    </row>
    <row r="67" spans="2:7" x14ac:dyDescent="0.3">
      <c r="B67">
        <f>ROWS($B$3:All_p[[#This Row],[Sl No]])-2</f>
        <v>63</v>
      </c>
      <c r="C67"/>
      <c r="D67"/>
      <c r="E67"/>
      <c r="F67"/>
      <c r="G67"/>
    </row>
    <row r="68" spans="2:7" x14ac:dyDescent="0.3">
      <c r="B68">
        <f>ROWS($B$3:All_p[[#This Row],[Sl No]])-2</f>
        <v>64</v>
      </c>
      <c r="C68"/>
      <c r="D68"/>
      <c r="E68"/>
      <c r="F68"/>
      <c r="G68"/>
    </row>
    <row r="69" spans="2:7" x14ac:dyDescent="0.3">
      <c r="B69">
        <f>ROWS($B$3:All_p[[#This Row],[Sl No]])-2</f>
        <v>65</v>
      </c>
      <c r="C69"/>
      <c r="D69"/>
      <c r="E69"/>
      <c r="F69"/>
      <c r="G69"/>
    </row>
    <row r="70" spans="2:7" x14ac:dyDescent="0.3">
      <c r="B70">
        <f>ROWS($B$3:All_p[[#This Row],[Sl No]])-2</f>
        <v>66</v>
      </c>
      <c r="C70"/>
      <c r="D70"/>
      <c r="E70"/>
      <c r="F70"/>
      <c r="G70"/>
    </row>
    <row r="71" spans="2:7" x14ac:dyDescent="0.3">
      <c r="B71">
        <f>ROWS($B$3:All_p[[#This Row],[Sl No]])-2</f>
        <v>67</v>
      </c>
      <c r="C71"/>
      <c r="D71"/>
      <c r="E71"/>
      <c r="F71"/>
      <c r="G71"/>
    </row>
    <row r="72" spans="2:7" x14ac:dyDescent="0.3">
      <c r="B72">
        <f>ROWS($B$3:All_p[[#This Row],[Sl No]])-2</f>
        <v>68</v>
      </c>
      <c r="C72"/>
      <c r="D72"/>
      <c r="E72"/>
      <c r="F72"/>
      <c r="G72"/>
    </row>
    <row r="73" spans="2:7" x14ac:dyDescent="0.3">
      <c r="B73">
        <f>ROWS($B$3:All_p[[#This Row],[Sl No]])-2</f>
        <v>69</v>
      </c>
      <c r="C73"/>
      <c r="D73"/>
      <c r="E73"/>
      <c r="F73"/>
      <c r="G73"/>
    </row>
    <row r="74" spans="2:7" x14ac:dyDescent="0.3">
      <c r="B74">
        <f>ROWS($B$3:All_p[[#This Row],[Sl No]])-2</f>
        <v>70</v>
      </c>
      <c r="C74"/>
      <c r="D74"/>
      <c r="E74"/>
      <c r="F74"/>
      <c r="G74"/>
    </row>
    <row r="75" spans="2:7" x14ac:dyDescent="0.3">
      <c r="B75">
        <f>ROWS($B$3:All_p[[#This Row],[Sl No]])-2</f>
        <v>71</v>
      </c>
      <c r="C75"/>
      <c r="D75"/>
      <c r="E75"/>
      <c r="F75"/>
      <c r="G75"/>
    </row>
    <row r="76" spans="2:7" x14ac:dyDescent="0.3">
      <c r="B76">
        <f>ROWS($B$3:All_p[[#This Row],[Sl No]])-2</f>
        <v>72</v>
      </c>
      <c r="C76"/>
      <c r="D76"/>
      <c r="E76"/>
      <c r="F76"/>
      <c r="G76"/>
    </row>
    <row r="77" spans="2:7" x14ac:dyDescent="0.3">
      <c r="B77">
        <f>ROWS($B$3:All_p[[#This Row],[Sl No]])-2</f>
        <v>73</v>
      </c>
      <c r="C77"/>
      <c r="D77"/>
      <c r="E77"/>
      <c r="F77"/>
      <c r="G77"/>
    </row>
    <row r="78" spans="2:7" x14ac:dyDescent="0.3">
      <c r="B78">
        <f>ROWS($B$3:All_p[[#This Row],[Sl No]])-2</f>
        <v>74</v>
      </c>
      <c r="C78"/>
      <c r="D78"/>
      <c r="E78"/>
      <c r="F78"/>
      <c r="G78"/>
    </row>
    <row r="79" spans="2:7" x14ac:dyDescent="0.3">
      <c r="B79">
        <f>ROWS($B$3:All_p[[#This Row],[Sl No]])-2</f>
        <v>75</v>
      </c>
      <c r="C79"/>
      <c r="D79"/>
      <c r="E79"/>
      <c r="F79"/>
      <c r="G79"/>
    </row>
    <row r="80" spans="2:7" x14ac:dyDescent="0.3">
      <c r="B80">
        <f>ROWS($B$3:All_p[[#This Row],[Sl No]])-2</f>
        <v>76</v>
      </c>
      <c r="C80"/>
      <c r="D80"/>
      <c r="E80"/>
      <c r="F80"/>
      <c r="G80"/>
    </row>
    <row r="81" spans="2:7" x14ac:dyDescent="0.3">
      <c r="B81">
        <f>ROWS($B$3:All_p[[#This Row],[Sl No]])-2</f>
        <v>77</v>
      </c>
      <c r="C81"/>
      <c r="D81"/>
      <c r="E81"/>
      <c r="F81"/>
      <c r="G81"/>
    </row>
    <row r="82" spans="2:7" x14ac:dyDescent="0.3">
      <c r="B82">
        <f>ROWS($B$3:All_p[[#This Row],[Sl No]])-2</f>
        <v>78</v>
      </c>
      <c r="C82"/>
      <c r="D82"/>
      <c r="E82"/>
      <c r="F82"/>
      <c r="G82"/>
    </row>
    <row r="83" spans="2:7" x14ac:dyDescent="0.3">
      <c r="B83">
        <f>ROWS($B$3:All_p[[#This Row],[Sl No]])-2</f>
        <v>79</v>
      </c>
      <c r="C83"/>
      <c r="D83"/>
      <c r="E83"/>
      <c r="F83"/>
      <c r="G83"/>
    </row>
    <row r="84" spans="2:7" x14ac:dyDescent="0.3">
      <c r="B84">
        <f>ROWS($B$3:All_p[[#This Row],[Sl No]])-2</f>
        <v>80</v>
      </c>
      <c r="C84"/>
      <c r="D84"/>
      <c r="E84"/>
      <c r="F84"/>
      <c r="G84"/>
    </row>
    <row r="85" spans="2:7" x14ac:dyDescent="0.3">
      <c r="B85">
        <f>ROWS($B$3:All_p[[#This Row],[Sl No]])-2</f>
        <v>81</v>
      </c>
      <c r="C85"/>
      <c r="D85"/>
      <c r="E85"/>
      <c r="F85"/>
      <c r="G85"/>
    </row>
    <row r="86" spans="2:7" x14ac:dyDescent="0.3">
      <c r="B86">
        <f>ROWS($B$3:All_p[[#This Row],[Sl No]])-2</f>
        <v>82</v>
      </c>
      <c r="C86"/>
      <c r="D86"/>
      <c r="E86"/>
      <c r="F86"/>
      <c r="G86"/>
    </row>
    <row r="87" spans="2:7" x14ac:dyDescent="0.3">
      <c r="B87">
        <f>ROWS($B$3:All_p[[#This Row],[Sl No]])-2</f>
        <v>83</v>
      </c>
      <c r="C87"/>
      <c r="D87"/>
      <c r="E87"/>
      <c r="F87"/>
      <c r="G87"/>
    </row>
    <row r="88" spans="2:7" x14ac:dyDescent="0.3">
      <c r="B88">
        <f>ROWS($B$3:All_p[[#This Row],[Sl No]])-2</f>
        <v>84</v>
      </c>
      <c r="C88"/>
      <c r="D88"/>
      <c r="E88"/>
      <c r="F88"/>
      <c r="G88"/>
    </row>
    <row r="89" spans="2:7" x14ac:dyDescent="0.3">
      <c r="B89">
        <f>ROWS($B$3:All_p[[#This Row],[Sl No]])-2</f>
        <v>85</v>
      </c>
      <c r="C89"/>
      <c r="D89"/>
      <c r="E89"/>
      <c r="F89"/>
      <c r="G89"/>
    </row>
    <row r="90" spans="2:7" x14ac:dyDescent="0.3">
      <c r="B90">
        <f>ROWS($B$3:All_p[[#This Row],[Sl No]])-2</f>
        <v>86</v>
      </c>
      <c r="C90"/>
      <c r="D90"/>
      <c r="E90"/>
      <c r="F90"/>
      <c r="G90"/>
    </row>
    <row r="91" spans="2:7" x14ac:dyDescent="0.3">
      <c r="B91">
        <f>ROWS($B$3:All_p[[#This Row],[Sl No]])-2</f>
        <v>87</v>
      </c>
      <c r="C91"/>
      <c r="D91"/>
      <c r="E91"/>
      <c r="F91"/>
      <c r="G91"/>
    </row>
    <row r="92" spans="2:7" x14ac:dyDescent="0.3">
      <c r="B92">
        <f>ROWS($B$3:All_p[[#This Row],[Sl No]])-2</f>
        <v>88</v>
      </c>
      <c r="C92"/>
      <c r="D92"/>
      <c r="E92"/>
      <c r="F92"/>
      <c r="G92"/>
    </row>
    <row r="93" spans="2:7" x14ac:dyDescent="0.3">
      <c r="B93">
        <f>ROWS($B$3:All_p[[#This Row],[Sl No]])-2</f>
        <v>89</v>
      </c>
      <c r="C93"/>
      <c r="D93"/>
      <c r="E93"/>
      <c r="F93"/>
      <c r="G93"/>
    </row>
    <row r="94" spans="2:7" x14ac:dyDescent="0.3">
      <c r="B94">
        <f>ROWS($B$3:All_p[[#This Row],[Sl No]])-2</f>
        <v>90</v>
      </c>
      <c r="C94"/>
      <c r="D94"/>
      <c r="E94"/>
      <c r="F94"/>
      <c r="G94"/>
    </row>
    <row r="95" spans="2:7" x14ac:dyDescent="0.3">
      <c r="B95">
        <f>ROWS($B$3:All_p[[#This Row],[Sl No]])-2</f>
        <v>91</v>
      </c>
      <c r="C95"/>
      <c r="D95"/>
      <c r="E95"/>
      <c r="F95"/>
      <c r="G95"/>
    </row>
    <row r="96" spans="2:7" x14ac:dyDescent="0.3">
      <c r="B96">
        <f>ROWS($B$3:All_p[[#This Row],[Sl No]])-2</f>
        <v>92</v>
      </c>
      <c r="C96"/>
      <c r="D96"/>
      <c r="E96"/>
      <c r="F96"/>
      <c r="G96"/>
    </row>
    <row r="97" spans="2:7" x14ac:dyDescent="0.3">
      <c r="B97">
        <f>ROWS($B$3:All_p[[#This Row],[Sl No]])-2</f>
        <v>93</v>
      </c>
      <c r="C97"/>
      <c r="D97"/>
      <c r="E97"/>
      <c r="F97"/>
      <c r="G97"/>
    </row>
    <row r="98" spans="2:7" x14ac:dyDescent="0.3">
      <c r="B98">
        <f>ROWS($B$3:All_p[[#This Row],[Sl No]])-2</f>
        <v>94</v>
      </c>
      <c r="C98"/>
      <c r="D98"/>
      <c r="E98"/>
      <c r="F98"/>
      <c r="G98"/>
    </row>
    <row r="99" spans="2:7" x14ac:dyDescent="0.3">
      <c r="B99">
        <f>ROWS($B$3:All_p[[#This Row],[Sl No]])-2</f>
        <v>95</v>
      </c>
      <c r="C99"/>
      <c r="D99"/>
      <c r="E99"/>
      <c r="F99"/>
      <c r="G99"/>
    </row>
    <row r="100" spans="2:7" x14ac:dyDescent="0.3">
      <c r="B100">
        <f>ROWS($B$3:All_p[[#This Row],[Sl No]])-2</f>
        <v>96</v>
      </c>
      <c r="C100"/>
      <c r="D100"/>
      <c r="E100"/>
      <c r="F100"/>
      <c r="G100"/>
    </row>
    <row r="101" spans="2:7" x14ac:dyDescent="0.3">
      <c r="B101">
        <f>ROWS($B$3:All_p[[#This Row],[Sl No]])-2</f>
        <v>97</v>
      </c>
      <c r="C101"/>
      <c r="D101"/>
      <c r="E101"/>
      <c r="F101"/>
      <c r="G101"/>
    </row>
    <row r="102" spans="2:7" x14ac:dyDescent="0.3">
      <c r="B102">
        <f>ROWS($B$3:All_p[[#This Row],[Sl No]])-2</f>
        <v>98</v>
      </c>
      <c r="C102"/>
      <c r="D102"/>
      <c r="E102"/>
      <c r="F102"/>
      <c r="G102"/>
    </row>
    <row r="103" spans="2:7" x14ac:dyDescent="0.3">
      <c r="B103">
        <f>ROWS($B$3:All_p[[#This Row],[Sl No]])-2</f>
        <v>99</v>
      </c>
      <c r="C103"/>
      <c r="D103"/>
      <c r="E103"/>
      <c r="F103"/>
      <c r="G103"/>
    </row>
    <row r="104" spans="2:7" x14ac:dyDescent="0.3">
      <c r="B104">
        <f>ROWS($B$3:All_p[[#This Row],[Sl No]])-2</f>
        <v>100</v>
      </c>
      <c r="C104"/>
      <c r="D104"/>
      <c r="E104"/>
      <c r="F104"/>
      <c r="G104"/>
    </row>
    <row r="105" spans="2:7" x14ac:dyDescent="0.3">
      <c r="B105">
        <f>ROWS($B$3:All_p[[#This Row],[Sl No]])-2</f>
        <v>101</v>
      </c>
      <c r="C105"/>
      <c r="D105"/>
      <c r="E105"/>
      <c r="F105"/>
      <c r="G105"/>
    </row>
    <row r="106" spans="2:7" x14ac:dyDescent="0.3">
      <c r="B106">
        <f>ROWS($B$3:All_p[[#This Row],[Sl No]])-2</f>
        <v>102</v>
      </c>
      <c r="C106"/>
      <c r="D106"/>
      <c r="E106"/>
      <c r="F106"/>
      <c r="G106"/>
    </row>
    <row r="107" spans="2:7" x14ac:dyDescent="0.3">
      <c r="B107">
        <f>ROWS($B$3:All_p[[#This Row],[Sl No]])-2</f>
        <v>103</v>
      </c>
      <c r="C107"/>
      <c r="D107"/>
      <c r="E107"/>
      <c r="F107"/>
      <c r="G107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BEEA7-AC25-470A-8951-B86804D87B25}">
  <sheetPr codeName="Sheet3"/>
  <dimension ref="B1:I54"/>
  <sheetViews>
    <sheetView showRowColHeaders="0" zoomScale="140" zoomScaleNormal="140" workbookViewId="0">
      <selection activeCell="F69" sqref="F68:F69"/>
    </sheetView>
  </sheetViews>
  <sheetFormatPr defaultColWidth="9" defaultRowHeight="15.05" x14ac:dyDescent="0.3"/>
  <cols>
    <col min="2" max="2" width="7.21875" customWidth="1"/>
    <col min="3" max="3" width="8.109375" customWidth="1"/>
    <col min="4" max="4" width="24.6640625" customWidth="1"/>
    <col min="5" max="5" width="13.77734375" customWidth="1"/>
    <col min="6" max="6" width="24.6640625" customWidth="1"/>
    <col min="7" max="7" width="12" customWidth="1"/>
    <col min="8" max="8" width="10.77734375" customWidth="1"/>
    <col min="9" max="9" width="23" customWidth="1"/>
  </cols>
  <sheetData>
    <row r="1" spans="2:9" ht="14.4" customHeight="1" x14ac:dyDescent="0.3">
      <c r="B1" s="58"/>
      <c r="C1" s="58"/>
    </row>
    <row r="2" spans="2:9" ht="14.4" x14ac:dyDescent="0.3">
      <c r="B2" s="46" t="s">
        <v>0</v>
      </c>
      <c r="C2" s="47" t="s">
        <v>1</v>
      </c>
      <c r="D2" s="47" t="s">
        <v>2</v>
      </c>
      <c r="E2" s="47" t="s">
        <v>3</v>
      </c>
      <c r="F2" s="47" t="s">
        <v>4</v>
      </c>
      <c r="G2" s="48" t="s">
        <v>5</v>
      </c>
      <c r="H2" s="48" t="s">
        <v>19</v>
      </c>
      <c r="I2" s="48" t="s">
        <v>20</v>
      </c>
    </row>
    <row r="3" spans="2:9" ht="14.4" x14ac:dyDescent="0.3">
      <c r="B3" s="59">
        <f>ROWS($B$3:Sold_P[[#This Row],[Sl No]])-2</f>
        <v>-1</v>
      </c>
      <c r="C3" s="59"/>
      <c r="D3" s="59"/>
      <c r="E3" s="59"/>
      <c r="F3" s="59"/>
      <c r="G3" s="59"/>
      <c r="H3" s="59"/>
      <c r="I3" s="59"/>
    </row>
    <row r="4" spans="2:9" ht="14.4" x14ac:dyDescent="0.3">
      <c r="B4" s="59">
        <f>ROWS($B$3:Sold_P[[#This Row],[Sl No]])-2</f>
        <v>0</v>
      </c>
      <c r="C4" s="59"/>
      <c r="D4" s="59"/>
      <c r="E4" s="59"/>
      <c r="F4" s="59"/>
      <c r="G4" s="59"/>
      <c r="H4" s="59"/>
      <c r="I4" s="59"/>
    </row>
    <row r="5" spans="2:9" ht="14.4" x14ac:dyDescent="0.3">
      <c r="B5" s="59">
        <f>ROWS($B$3:Sold_P[[#This Row],[Sl No]])-2</f>
        <v>1</v>
      </c>
      <c r="C5" s="59"/>
      <c r="D5" s="59"/>
      <c r="E5" s="59"/>
      <c r="F5" s="59"/>
      <c r="G5" s="59"/>
      <c r="H5" s="59"/>
      <c r="I5" s="59"/>
    </row>
    <row r="6" spans="2:9" ht="14.4" x14ac:dyDescent="0.3">
      <c r="B6" s="59">
        <f>ROWS($B$3:Sold_P[[#This Row],[Sl No]])-2</f>
        <v>2</v>
      </c>
      <c r="C6" s="59"/>
      <c r="D6" s="59"/>
      <c r="E6" s="59"/>
      <c r="F6" s="59"/>
      <c r="G6" s="59"/>
      <c r="H6" s="59"/>
      <c r="I6" s="59"/>
    </row>
    <row r="7" spans="2:9" ht="14.4" x14ac:dyDescent="0.3">
      <c r="B7" s="59">
        <f>ROWS($B$3:Sold_P[[#This Row],[Sl No]])-2</f>
        <v>3</v>
      </c>
      <c r="C7" s="59"/>
      <c r="D7" s="59"/>
      <c r="E7" s="59"/>
      <c r="F7" s="59"/>
      <c r="G7" s="59"/>
      <c r="H7" s="59"/>
      <c r="I7" s="59"/>
    </row>
    <row r="8" spans="2:9" ht="14.4" x14ac:dyDescent="0.3">
      <c r="B8" s="59">
        <f>ROWS($B$3:Sold_P[[#This Row],[Sl No]])-2</f>
        <v>4</v>
      </c>
      <c r="C8" s="59"/>
      <c r="D8" s="59"/>
      <c r="E8" s="59"/>
      <c r="F8" s="59"/>
      <c r="G8" s="59"/>
      <c r="H8" s="59"/>
      <c r="I8" s="59"/>
    </row>
    <row r="9" spans="2:9" ht="14.4" x14ac:dyDescent="0.3">
      <c r="B9" s="59">
        <f>ROWS($B$3:Sold_P[[#This Row],[Sl No]])-2</f>
        <v>5</v>
      </c>
      <c r="C9" s="59"/>
      <c r="D9" s="59"/>
      <c r="E9" s="59"/>
      <c r="F9" s="59"/>
      <c r="G9" s="59"/>
      <c r="H9" s="59"/>
      <c r="I9" s="59"/>
    </row>
    <row r="10" spans="2:9" ht="14.4" x14ac:dyDescent="0.3">
      <c r="B10" s="59">
        <f>ROWS($B$3:Sold_P[[#This Row],[Sl No]])-2</f>
        <v>6</v>
      </c>
      <c r="C10" s="59"/>
      <c r="D10" s="59"/>
      <c r="E10" s="59"/>
      <c r="F10" s="59"/>
      <c r="G10" s="59"/>
      <c r="H10" s="59"/>
      <c r="I10" s="59"/>
    </row>
    <row r="11" spans="2:9" ht="14.4" x14ac:dyDescent="0.3">
      <c r="B11" s="59">
        <f>ROWS($B$3:Sold_P[[#This Row],[Sl No]])-2</f>
        <v>7</v>
      </c>
      <c r="C11" s="59"/>
      <c r="D11" s="59"/>
      <c r="E11" s="59"/>
      <c r="F11" s="59"/>
      <c r="G11" s="59"/>
      <c r="H11" s="59"/>
      <c r="I11" s="59"/>
    </row>
    <row r="12" spans="2:9" ht="14.4" x14ac:dyDescent="0.3">
      <c r="B12" s="59">
        <f>ROWS($B$3:Sold_P[[#This Row],[Sl No]])-2</f>
        <v>8</v>
      </c>
      <c r="C12" s="59"/>
      <c r="D12" s="59"/>
      <c r="E12" s="59"/>
      <c r="F12" s="59"/>
      <c r="G12" s="59"/>
      <c r="H12" s="59"/>
      <c r="I12" s="59"/>
    </row>
    <row r="13" spans="2:9" ht="14.4" x14ac:dyDescent="0.3">
      <c r="B13" s="59">
        <f>ROWS($B$3:Sold_P[[#This Row],[Sl No]])-2</f>
        <v>9</v>
      </c>
      <c r="C13" s="59"/>
      <c r="D13" s="59"/>
      <c r="E13" s="59"/>
      <c r="F13" s="59"/>
      <c r="G13" s="59"/>
      <c r="H13" s="59"/>
      <c r="I13" s="59"/>
    </row>
    <row r="14" spans="2:9" ht="14.4" x14ac:dyDescent="0.3">
      <c r="B14" s="59">
        <f>ROWS($B$3:Sold_P[[#This Row],[Sl No]])-2</f>
        <v>10</v>
      </c>
      <c r="C14" s="59"/>
      <c r="D14" s="59"/>
      <c r="E14" s="59"/>
      <c r="F14" s="59"/>
      <c r="G14" s="59"/>
      <c r="H14" s="59"/>
      <c r="I14" s="59"/>
    </row>
    <row r="15" spans="2:9" ht="14.4" x14ac:dyDescent="0.3">
      <c r="B15" s="59">
        <f>ROWS($B$3:Sold_P[[#This Row],[Sl No]])-2</f>
        <v>11</v>
      </c>
      <c r="C15" s="59"/>
      <c r="D15" s="59"/>
      <c r="E15" s="59"/>
      <c r="F15" s="59"/>
      <c r="G15" s="59"/>
      <c r="H15" s="59"/>
      <c r="I15" s="59"/>
    </row>
    <row r="16" spans="2:9" ht="14.4" x14ac:dyDescent="0.3">
      <c r="B16" s="59">
        <f>ROWS($B$3:Sold_P[[#This Row],[Sl No]])-2</f>
        <v>12</v>
      </c>
      <c r="C16" s="59"/>
      <c r="D16" s="59"/>
      <c r="E16" s="59"/>
      <c r="F16" s="59"/>
      <c r="G16" s="59"/>
      <c r="H16" s="59"/>
      <c r="I16" s="59"/>
    </row>
    <row r="17" spans="2:9" ht="14.4" x14ac:dyDescent="0.3">
      <c r="B17" s="59">
        <f>ROWS($B$3:Sold_P[[#This Row],[Sl No]])-2</f>
        <v>13</v>
      </c>
      <c r="C17" s="59"/>
      <c r="D17" s="59"/>
      <c r="E17" s="59"/>
      <c r="F17" s="59"/>
      <c r="G17" s="59"/>
      <c r="H17" s="59"/>
      <c r="I17" s="59"/>
    </row>
    <row r="18" spans="2:9" ht="14.4" x14ac:dyDescent="0.3">
      <c r="B18" s="59">
        <f>ROWS($B$3:Sold_P[[#This Row],[Sl No]])-2</f>
        <v>14</v>
      </c>
      <c r="C18" s="59"/>
      <c r="D18" s="59"/>
      <c r="E18" s="59"/>
      <c r="F18" s="59"/>
      <c r="G18" s="59"/>
      <c r="H18" s="59"/>
      <c r="I18" s="59"/>
    </row>
    <row r="19" spans="2:9" ht="14.4" x14ac:dyDescent="0.3">
      <c r="B19" s="59">
        <f>ROWS($B$3:Sold_P[[#This Row],[Sl No]])-2</f>
        <v>15</v>
      </c>
      <c r="C19" s="59"/>
      <c r="D19" s="59"/>
      <c r="E19" s="59"/>
      <c r="F19" s="59"/>
      <c r="G19" s="59"/>
      <c r="H19" s="59"/>
      <c r="I19" s="59"/>
    </row>
    <row r="20" spans="2:9" ht="14.4" x14ac:dyDescent="0.3">
      <c r="B20" s="59">
        <f>ROWS($B$3:Sold_P[[#This Row],[Sl No]])-2</f>
        <v>16</v>
      </c>
      <c r="C20" s="59"/>
      <c r="D20" s="59"/>
      <c r="E20" s="59"/>
      <c r="F20" s="59"/>
      <c r="G20" s="59"/>
      <c r="H20" s="59"/>
      <c r="I20" s="59"/>
    </row>
    <row r="21" spans="2:9" ht="14.4" x14ac:dyDescent="0.3">
      <c r="B21" s="59">
        <f>ROWS($B$3:Sold_P[[#This Row],[Sl No]])-2</f>
        <v>17</v>
      </c>
      <c r="C21" s="59"/>
      <c r="D21" s="59"/>
      <c r="E21" s="59"/>
      <c r="F21" s="59"/>
      <c r="G21" s="59"/>
      <c r="H21" s="59"/>
      <c r="I21" s="59"/>
    </row>
    <row r="22" spans="2:9" ht="14.4" x14ac:dyDescent="0.3">
      <c r="B22" s="59">
        <f>ROWS($B$3:Sold_P[[#This Row],[Sl No]])-2</f>
        <v>18</v>
      </c>
      <c r="C22" s="59"/>
      <c r="D22" s="59"/>
      <c r="E22" s="59"/>
      <c r="F22" s="59"/>
      <c r="G22" s="59"/>
      <c r="H22" s="59"/>
      <c r="I22" s="59"/>
    </row>
    <row r="23" spans="2:9" ht="14.4" x14ac:dyDescent="0.3">
      <c r="B23" s="59">
        <f>ROWS($B$3:Sold_P[[#This Row],[Sl No]])-2</f>
        <v>19</v>
      </c>
      <c r="C23" s="59"/>
      <c r="D23" s="59"/>
      <c r="E23" s="59"/>
      <c r="F23" s="59"/>
      <c r="G23" s="59"/>
      <c r="H23" s="59"/>
      <c r="I23" s="59"/>
    </row>
    <row r="24" spans="2:9" ht="14.4" x14ac:dyDescent="0.3">
      <c r="B24" s="59">
        <f>ROWS($B$3:Sold_P[[#This Row],[Sl No]])-2</f>
        <v>20</v>
      </c>
      <c r="C24" s="59"/>
      <c r="D24" s="59"/>
      <c r="E24" s="59"/>
      <c r="F24" s="59"/>
      <c r="G24" s="59"/>
      <c r="H24" s="59"/>
      <c r="I24" s="59"/>
    </row>
    <row r="25" spans="2:9" ht="14.4" x14ac:dyDescent="0.3">
      <c r="B25" s="59">
        <f>ROWS($B$3:Sold_P[[#This Row],[Sl No]])-2</f>
        <v>21</v>
      </c>
      <c r="C25" s="59"/>
      <c r="D25" s="59"/>
      <c r="E25" s="59"/>
      <c r="F25" s="59"/>
      <c r="G25" s="59"/>
      <c r="H25" s="59"/>
      <c r="I25" s="59"/>
    </row>
    <row r="26" spans="2:9" ht="14.4" x14ac:dyDescent="0.3">
      <c r="B26" s="59">
        <f>ROWS($B$3:Sold_P[[#This Row],[Sl No]])-2</f>
        <v>22</v>
      </c>
      <c r="C26" s="59"/>
      <c r="D26" s="59"/>
      <c r="E26" s="59"/>
      <c r="F26" s="59"/>
      <c r="G26" s="59"/>
      <c r="H26" s="59"/>
      <c r="I26" s="59"/>
    </row>
    <row r="27" spans="2:9" x14ac:dyDescent="0.3">
      <c r="B27" s="59">
        <f>ROWS($B$3:Sold_P[[#This Row],[Sl No]])-2</f>
        <v>23</v>
      </c>
      <c r="C27" s="59"/>
      <c r="D27" s="59"/>
      <c r="E27" s="59"/>
      <c r="F27" s="59"/>
      <c r="G27" s="59"/>
      <c r="H27" s="59"/>
      <c r="I27" s="59"/>
    </row>
    <row r="28" spans="2:9" x14ac:dyDescent="0.3">
      <c r="B28" s="59">
        <f>ROWS($B$3:Sold_P[[#This Row],[Sl No]])-2</f>
        <v>24</v>
      </c>
      <c r="C28" s="59"/>
      <c r="D28" s="59"/>
      <c r="E28" s="59"/>
      <c r="F28" s="59"/>
      <c r="G28" s="59"/>
      <c r="H28" s="59"/>
      <c r="I28" s="59"/>
    </row>
    <row r="29" spans="2:9" x14ac:dyDescent="0.3">
      <c r="B29" s="59">
        <f>ROWS($B$3:Sold_P[[#This Row],[Sl No]])-2</f>
        <v>25</v>
      </c>
      <c r="C29" s="63"/>
      <c r="D29" s="63"/>
      <c r="E29" s="63"/>
      <c r="F29" s="63"/>
      <c r="G29" s="63"/>
      <c r="H29" s="63"/>
      <c r="I29" s="63"/>
    </row>
    <row r="30" spans="2:9" x14ac:dyDescent="0.3">
      <c r="B30" s="59">
        <f>ROWS($B$3:Sold_P[[#This Row],[Sl No]])-2</f>
        <v>26</v>
      </c>
      <c r="C30" s="63"/>
      <c r="D30" s="63"/>
      <c r="E30" s="63"/>
      <c r="F30" s="63"/>
      <c r="G30" s="63"/>
      <c r="H30" s="63"/>
      <c r="I30" s="63"/>
    </row>
    <row r="31" spans="2:9" x14ac:dyDescent="0.3">
      <c r="B31" s="59">
        <f>ROWS($B$3:Sold_P[[#This Row],[Sl No]])-2</f>
        <v>27</v>
      </c>
      <c r="C31" s="63"/>
      <c r="D31" s="63"/>
      <c r="E31" s="63"/>
      <c r="F31" s="63"/>
      <c r="G31" s="63"/>
      <c r="H31" s="63"/>
      <c r="I31" s="63"/>
    </row>
    <row r="32" spans="2:9" x14ac:dyDescent="0.3">
      <c r="B32" s="59">
        <f>ROWS($B$3:Sold_P[[#This Row],[Sl No]])-2</f>
        <v>28</v>
      </c>
      <c r="C32" s="63"/>
      <c r="D32" s="63"/>
      <c r="E32" s="63"/>
      <c r="F32" s="63"/>
      <c r="G32" s="63"/>
      <c r="H32" s="63"/>
      <c r="I32" s="63"/>
    </row>
    <row r="33" spans="2:9" x14ac:dyDescent="0.3">
      <c r="B33" s="59">
        <f>ROWS($B$3:Sold_P[[#This Row],[Sl No]])-2</f>
        <v>29</v>
      </c>
      <c r="C33" s="63"/>
      <c r="D33" s="63"/>
      <c r="E33" s="63"/>
      <c r="F33" s="63"/>
      <c r="G33" s="63"/>
      <c r="H33" s="63"/>
      <c r="I33" s="63"/>
    </row>
    <row r="34" spans="2:9" x14ac:dyDescent="0.3">
      <c r="B34" s="59">
        <f>ROWS($B$3:Sold_P[[#This Row],[Sl No]])-2</f>
        <v>30</v>
      </c>
      <c r="C34" s="59"/>
      <c r="D34" s="59"/>
      <c r="E34" s="59"/>
      <c r="F34" s="59"/>
      <c r="G34" s="59"/>
      <c r="H34" s="59"/>
      <c r="I34" s="59"/>
    </row>
    <row r="35" spans="2:9" x14ac:dyDescent="0.3">
      <c r="B35" s="59">
        <f>ROWS($B$3:Sold_P[[#This Row],[Sl No]])-2</f>
        <v>31</v>
      </c>
      <c r="C35" s="2"/>
      <c r="D35" s="2"/>
      <c r="E35" s="2"/>
      <c r="F35" s="2"/>
      <c r="G35" s="2"/>
      <c r="H35" s="2"/>
      <c r="I35" s="2"/>
    </row>
    <row r="36" spans="2:9" x14ac:dyDescent="0.3">
      <c r="B36" s="59">
        <f>ROWS($B$3:Sold_P[[#This Row],[Sl No]])-2</f>
        <v>32</v>
      </c>
      <c r="C36" s="2"/>
      <c r="D36" s="2"/>
      <c r="E36" s="2"/>
      <c r="F36" s="2"/>
      <c r="G36" s="2"/>
      <c r="H36" s="2"/>
      <c r="I36" s="2"/>
    </row>
    <row r="37" spans="2:9" x14ac:dyDescent="0.3">
      <c r="B37" s="59">
        <f>ROWS($B$3:Sold_P[[#This Row],[Sl No]])-2</f>
        <v>33</v>
      </c>
      <c r="C37" s="2"/>
      <c r="D37" s="2"/>
      <c r="E37" s="2"/>
      <c r="F37" s="2"/>
      <c r="G37" s="2"/>
      <c r="H37" s="2"/>
      <c r="I37" s="2"/>
    </row>
    <row r="38" spans="2:9" x14ac:dyDescent="0.3">
      <c r="B38" s="59">
        <f>ROWS($B$3:Sold_P[[#This Row],[Sl No]])-2</f>
        <v>34</v>
      </c>
      <c r="C38" s="2"/>
      <c r="D38" s="2"/>
      <c r="E38" s="2"/>
      <c r="F38" s="2"/>
      <c r="G38" s="2"/>
      <c r="H38" s="2"/>
      <c r="I38" s="2"/>
    </row>
    <row r="39" spans="2:9" x14ac:dyDescent="0.3">
      <c r="B39" s="59">
        <f>ROWS($B$3:Sold_P[[#This Row],[Sl No]])-2</f>
        <v>35</v>
      </c>
      <c r="C39" s="2"/>
      <c r="D39" s="2"/>
      <c r="E39" s="2"/>
      <c r="F39" s="2"/>
      <c r="G39" s="2"/>
      <c r="H39" s="2"/>
      <c r="I39" s="2"/>
    </row>
    <row r="40" spans="2:9" x14ac:dyDescent="0.3">
      <c r="B40" s="59">
        <f>ROWS($B$3:Sold_P[[#This Row],[Sl No]])-2</f>
        <v>36</v>
      </c>
      <c r="C40" s="2"/>
      <c r="D40" s="2"/>
      <c r="E40" s="2"/>
      <c r="F40" s="2"/>
      <c r="G40" s="2"/>
      <c r="H40" s="2"/>
      <c r="I40" s="2"/>
    </row>
    <row r="41" spans="2:9" x14ac:dyDescent="0.3">
      <c r="B41" s="59">
        <f>ROWS($B$3:Sold_P[[#This Row],[Sl No]])-2</f>
        <v>37</v>
      </c>
      <c r="C41" s="2"/>
      <c r="D41" s="2"/>
      <c r="E41" s="2"/>
      <c r="F41" s="2"/>
      <c r="G41" s="2"/>
      <c r="H41" s="2"/>
      <c r="I41" s="2"/>
    </row>
    <row r="42" spans="2:9" x14ac:dyDescent="0.3">
      <c r="B42" s="59">
        <f>ROWS($B$3:Sold_P[[#This Row],[Sl No]])-2</f>
        <v>38</v>
      </c>
      <c r="C42" s="2"/>
      <c r="D42" s="2"/>
      <c r="E42" s="2"/>
      <c r="F42" s="2"/>
      <c r="G42" s="2"/>
      <c r="H42" s="2"/>
      <c r="I42" s="2"/>
    </row>
    <row r="43" spans="2:9" x14ac:dyDescent="0.3">
      <c r="B43" s="59">
        <f>ROWS($B$3:Sold_P[[#This Row],[Sl No]])-2</f>
        <v>39</v>
      </c>
      <c r="C43" s="2"/>
      <c r="D43" s="2"/>
      <c r="E43" s="2"/>
      <c r="F43" s="2"/>
      <c r="G43" s="2"/>
      <c r="H43" s="2"/>
      <c r="I43" s="2"/>
    </row>
    <row r="44" spans="2:9" x14ac:dyDescent="0.3">
      <c r="B44" s="2">
        <f>ROWS($B$3:Sold_P[[#This Row],[Sl No]])-2</f>
        <v>40</v>
      </c>
      <c r="C44" s="2"/>
      <c r="D44" s="2"/>
      <c r="E44" s="2"/>
      <c r="F44" s="2"/>
      <c r="G44" s="2"/>
      <c r="H44" s="2"/>
      <c r="I44" s="2"/>
    </row>
    <row r="45" spans="2:9" x14ac:dyDescent="0.3">
      <c r="B45" s="2">
        <f>ROWS($B$3:Sold_P[[#This Row],[Sl No]])-2</f>
        <v>41</v>
      </c>
      <c r="C45" s="2"/>
      <c r="D45" s="2"/>
      <c r="E45" s="2"/>
      <c r="F45" s="2"/>
      <c r="G45" s="2"/>
      <c r="H45" s="2"/>
      <c r="I45" s="2"/>
    </row>
    <row r="46" spans="2:9" x14ac:dyDescent="0.3">
      <c r="B46" s="2">
        <f>ROWS($B$3:Sold_P[[#This Row],[Sl No]])-2</f>
        <v>42</v>
      </c>
      <c r="C46" s="2"/>
      <c r="D46" s="2"/>
      <c r="E46" s="2"/>
      <c r="F46" s="2"/>
      <c r="G46" s="2"/>
      <c r="H46" s="2"/>
      <c r="I46" s="2"/>
    </row>
    <row r="47" spans="2:9" x14ac:dyDescent="0.3">
      <c r="B47" s="2">
        <f>ROWS($B$3:Sold_P[[#This Row],[Sl No]])-2</f>
        <v>43</v>
      </c>
      <c r="C47" s="2"/>
      <c r="D47" s="2"/>
      <c r="E47" s="2"/>
      <c r="F47" s="2"/>
      <c r="G47" s="2"/>
      <c r="H47" s="2"/>
      <c r="I47" s="2"/>
    </row>
    <row r="48" spans="2:9" x14ac:dyDescent="0.3">
      <c r="B48" s="2">
        <f>ROWS($B$3:Sold_P[[#This Row],[Sl No]])-2</f>
        <v>44</v>
      </c>
      <c r="C48" s="2"/>
      <c r="D48" s="2"/>
      <c r="E48" s="2"/>
      <c r="F48" s="2"/>
      <c r="G48" s="2"/>
      <c r="H48" s="2"/>
      <c r="I48" s="2"/>
    </row>
    <row r="49" spans="2:9" x14ac:dyDescent="0.3">
      <c r="B49" s="2">
        <f>ROWS($B$3:Sold_P[[#This Row],[Sl No]])-2</f>
        <v>45</v>
      </c>
      <c r="C49" s="2"/>
      <c r="D49" s="2"/>
      <c r="E49" s="2"/>
      <c r="F49" s="2"/>
      <c r="G49" s="2"/>
      <c r="H49" s="2"/>
      <c r="I49" s="2"/>
    </row>
    <row r="50" spans="2:9" x14ac:dyDescent="0.3">
      <c r="B50" s="2">
        <f>ROWS($B$3:Sold_P[[#This Row],[Sl No]])-2</f>
        <v>46</v>
      </c>
      <c r="C50" s="2"/>
      <c r="D50" s="2"/>
      <c r="E50" s="2"/>
      <c r="F50" s="2"/>
      <c r="G50" s="2"/>
      <c r="H50" s="2"/>
      <c r="I50" s="2"/>
    </row>
    <row r="51" spans="2:9" x14ac:dyDescent="0.3">
      <c r="B51" s="2">
        <f>ROWS($B$3:Sold_P[[#This Row],[Sl No]])-2</f>
        <v>47</v>
      </c>
      <c r="C51" s="2"/>
      <c r="D51" s="2"/>
      <c r="E51" s="2"/>
      <c r="F51" s="2"/>
      <c r="G51" s="2"/>
      <c r="H51" s="2"/>
      <c r="I51" s="2"/>
    </row>
    <row r="52" spans="2:9" x14ac:dyDescent="0.3">
      <c r="B52" s="2">
        <f>ROWS($B$3:Sold_P[[#This Row],[Sl No]])-2</f>
        <v>48</v>
      </c>
      <c r="C52" s="2"/>
      <c r="D52" s="2"/>
      <c r="E52" s="2"/>
      <c r="F52" s="2"/>
      <c r="G52" s="2"/>
      <c r="H52" s="2"/>
      <c r="I52" s="2"/>
    </row>
    <row r="53" spans="2:9" x14ac:dyDescent="0.3">
      <c r="B53" s="2">
        <f>ROWS($B$3:Sold_P[[#This Row],[Sl No]])-2</f>
        <v>49</v>
      </c>
      <c r="C53" s="2"/>
      <c r="D53" s="2"/>
      <c r="E53" s="2"/>
      <c r="F53" s="2"/>
      <c r="G53" s="2"/>
      <c r="H53" s="2"/>
      <c r="I53" s="2"/>
    </row>
    <row r="54" spans="2:9" x14ac:dyDescent="0.3">
      <c r="B54" s="2">
        <f>ROWS($B$3:Sold_P[[#This Row],[Sl No]])-2</f>
        <v>50</v>
      </c>
      <c r="C54" s="2"/>
      <c r="D54" s="2"/>
      <c r="E54" s="2"/>
      <c r="F54" s="2"/>
      <c r="G54" s="2"/>
      <c r="H54" s="2"/>
      <c r="I54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A38CF-6908-45BF-9267-6A00F9F54B14}">
  <sheetPr codeName="Sheet4"/>
  <dimension ref="B1:G18"/>
  <sheetViews>
    <sheetView showRowColHeaders="0" zoomScale="190" zoomScaleNormal="190" workbookViewId="0">
      <selection activeCell="D47" sqref="D47"/>
    </sheetView>
  </sheetViews>
  <sheetFormatPr defaultRowHeight="15.05" x14ac:dyDescent="0.3"/>
  <cols>
    <col min="2" max="2" width="7.21875" customWidth="1"/>
    <col min="3" max="3" width="8.109375" customWidth="1"/>
    <col min="4" max="4" width="24.6640625" customWidth="1"/>
    <col min="5" max="5" width="13.77734375" customWidth="1"/>
    <col min="6" max="6" width="24.6640625" customWidth="1"/>
    <col min="7" max="7" width="12" customWidth="1"/>
  </cols>
  <sheetData>
    <row r="1" spans="2:7" ht="24.05" customHeight="1" x14ac:dyDescent="0.3">
      <c r="B1" s="138">
        <f>Auction!J3</f>
        <v>1.7361111111111112E-4</v>
      </c>
      <c r="C1" s="139"/>
    </row>
    <row r="2" spans="2:7" ht="14.4" x14ac:dyDescent="0.3">
      <c r="B2" s="46" t="s">
        <v>0</v>
      </c>
      <c r="C2" s="47" t="s">
        <v>1</v>
      </c>
      <c r="D2" s="47" t="s">
        <v>2</v>
      </c>
      <c r="E2" s="47" t="s">
        <v>3</v>
      </c>
      <c r="F2" s="47" t="s">
        <v>4</v>
      </c>
      <c r="G2" s="48" t="s">
        <v>5</v>
      </c>
    </row>
    <row r="3" spans="2:7" ht="14.4" x14ac:dyDescent="0.3">
      <c r="B3">
        <f>ROWS($B$3:Unsold_P[[#This Row],[Sl No]])-2</f>
        <v>-1</v>
      </c>
      <c r="C3">
        <v>0</v>
      </c>
      <c r="D3">
        <v>0</v>
      </c>
      <c r="E3">
        <v>0</v>
      </c>
      <c r="F3">
        <v>0</v>
      </c>
      <c r="G3">
        <v>0</v>
      </c>
    </row>
    <row r="4" spans="2:7" ht="14.4" x14ac:dyDescent="0.3">
      <c r="B4">
        <f>ROWS($B$3:Unsold_P[[#This Row],[Sl No]])-2</f>
        <v>0</v>
      </c>
    </row>
    <row r="5" spans="2:7" ht="14.4" x14ac:dyDescent="0.3">
      <c r="B5">
        <f>ROWS($B$3:Unsold_P[[#This Row],[Sl No]])-2</f>
        <v>1</v>
      </c>
    </row>
    <row r="6" spans="2:7" ht="14.4" x14ac:dyDescent="0.3">
      <c r="B6">
        <f>ROWS($B$3:Unsold_P[[#This Row],[Sl No]])-2</f>
        <v>2</v>
      </c>
    </row>
    <row r="7" spans="2:7" ht="14.4" x14ac:dyDescent="0.3">
      <c r="B7">
        <f>ROWS($B$3:Unsold_P[[#This Row],[Sl No]])-2</f>
        <v>3</v>
      </c>
    </row>
    <row r="8" spans="2:7" ht="14.4" x14ac:dyDescent="0.3">
      <c r="B8">
        <f>ROWS($B$3:Unsold_P[[#This Row],[Sl No]])-2</f>
        <v>4</v>
      </c>
    </row>
    <row r="9" spans="2:7" ht="14.4" x14ac:dyDescent="0.3">
      <c r="B9">
        <f>ROWS($B$3:Unsold_P[[#This Row],[Sl No]])-2</f>
        <v>5</v>
      </c>
    </row>
    <row r="10" spans="2:7" ht="14.4" x14ac:dyDescent="0.3">
      <c r="B10">
        <f>ROWS($B$3:Unsold_P[[#This Row],[Sl No]])-2</f>
        <v>6</v>
      </c>
    </row>
    <row r="11" spans="2:7" ht="14.4" x14ac:dyDescent="0.3">
      <c r="B11">
        <f>ROWS($B$3:Unsold_P[[#This Row],[Sl No]])-2</f>
        <v>7</v>
      </c>
    </row>
    <row r="12" spans="2:7" ht="14.4" x14ac:dyDescent="0.3">
      <c r="B12">
        <f>ROWS($B$3:Unsold_P[[#This Row],[Sl No]])-2</f>
        <v>8</v>
      </c>
    </row>
    <row r="13" spans="2:7" ht="14.4" x14ac:dyDescent="0.3">
      <c r="B13">
        <f>ROWS($B$3:Unsold_P[[#This Row],[Sl No]])-2</f>
        <v>9</v>
      </c>
    </row>
    <row r="14" spans="2:7" ht="14.4" x14ac:dyDescent="0.3">
      <c r="B14">
        <f>ROWS($B$3:Unsold_P[[#This Row],[Sl No]])-2</f>
        <v>10</v>
      </c>
    </row>
    <row r="15" spans="2:7" ht="14.4" x14ac:dyDescent="0.3">
      <c r="B15">
        <f>ROWS($B$3:Unsold_P[[#This Row],[Sl No]])-2</f>
        <v>11</v>
      </c>
    </row>
    <row r="16" spans="2:7" ht="14.4" x14ac:dyDescent="0.3">
      <c r="B16">
        <f>ROWS($B$3:Unsold_P[[#This Row],[Sl No]])-2</f>
        <v>12</v>
      </c>
    </row>
    <row r="17" spans="2:2" ht="14.4" x14ac:dyDescent="0.3">
      <c r="B17">
        <f>ROWS($B$3:Unsold_P[[#This Row],[Sl No]])-2</f>
        <v>13</v>
      </c>
    </row>
    <row r="18" spans="2:2" ht="14.4" x14ac:dyDescent="0.3">
      <c r="B18">
        <f>ROWS($B$3:Unsold_P[[#This Row],[Sl No]])-2</f>
        <v>14</v>
      </c>
    </row>
  </sheetData>
  <mergeCells count="1">
    <mergeCell ref="B1:C1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8BA96-CA7D-46C5-BEEC-EF1EE438F26A}">
  <sheetPr codeName="Sheet7"/>
  <dimension ref="A1:T39"/>
  <sheetViews>
    <sheetView showGridLines="0" showRowColHeaders="0" zoomScale="120" zoomScaleNormal="120" workbookViewId="0">
      <selection activeCell="O13" sqref="O13:P24"/>
    </sheetView>
  </sheetViews>
  <sheetFormatPr defaultRowHeight="15.05" x14ac:dyDescent="0.3"/>
  <cols>
    <col min="1" max="1" width="3" customWidth="1"/>
    <col min="2" max="2" width="7.88671875" customWidth="1"/>
    <col min="3" max="3" width="22.21875" customWidth="1"/>
    <col min="5" max="5" width="4.33203125" customWidth="1"/>
    <col min="6" max="6" width="7.88671875" customWidth="1"/>
    <col min="7" max="7" width="22.21875" customWidth="1"/>
    <col min="9" max="9" width="4.44140625" customWidth="1"/>
    <col min="10" max="10" width="7.88671875" customWidth="1"/>
    <col min="11" max="11" width="22.21875" customWidth="1"/>
    <col min="13" max="13" width="4.44140625" customWidth="1"/>
    <col min="14" max="14" width="7.88671875" customWidth="1"/>
    <col min="15" max="15" width="22.21875" customWidth="1"/>
    <col min="17" max="17" width="5.109375" customWidth="1"/>
    <col min="19" max="19" width="14.33203125" customWidth="1"/>
    <col min="20" max="20" width="9.33203125" bestFit="1" customWidth="1"/>
  </cols>
  <sheetData>
    <row r="1" spans="1:20" x14ac:dyDescent="0.3">
      <c r="C1" s="144">
        <f>Auction!J3</f>
        <v>1.7361111111111112E-4</v>
      </c>
      <c r="G1" s="146"/>
      <c r="K1" s="146"/>
    </row>
    <row r="2" spans="1:20" x14ac:dyDescent="0.3">
      <c r="C2" s="145"/>
      <c r="G2" s="146"/>
      <c r="K2" s="146"/>
      <c r="S2" s="56" t="s">
        <v>31</v>
      </c>
      <c r="T2" s="1"/>
    </row>
    <row r="3" spans="1:20" x14ac:dyDescent="0.3">
      <c r="C3" s="145"/>
      <c r="G3" s="146"/>
      <c r="K3" s="146"/>
      <c r="S3" s="143">
        <f>COUNTA(Sold_P[Name])</f>
        <v>0</v>
      </c>
      <c r="T3" s="2"/>
    </row>
    <row r="4" spans="1:20" ht="7.85" customHeight="1" x14ac:dyDescent="0.3">
      <c r="A4" s="51"/>
      <c r="B4" s="51"/>
      <c r="C4" s="57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S4" s="143"/>
    </row>
    <row r="5" spans="1:20" x14ac:dyDescent="0.3">
      <c r="A5" s="51"/>
      <c r="B5" s="141" t="s">
        <v>28</v>
      </c>
      <c r="C5" s="141"/>
      <c r="D5" s="142">
        <v>1000</v>
      </c>
      <c r="E5" s="52"/>
      <c r="F5" s="141" t="s">
        <v>28</v>
      </c>
      <c r="G5" s="141"/>
      <c r="H5" s="142">
        <v>1000</v>
      </c>
      <c r="I5" s="52"/>
      <c r="J5" s="141" t="s">
        <v>28</v>
      </c>
      <c r="K5" s="141"/>
      <c r="L5" s="142">
        <v>1100</v>
      </c>
      <c r="M5" s="52"/>
      <c r="N5" s="141" t="s">
        <v>28</v>
      </c>
      <c r="O5" s="141"/>
      <c r="P5" s="142">
        <v>1000</v>
      </c>
      <c r="Q5" s="51"/>
      <c r="S5" s="143"/>
    </row>
    <row r="6" spans="1:20" x14ac:dyDescent="0.3">
      <c r="A6" s="51"/>
      <c r="B6" s="141"/>
      <c r="C6" s="141"/>
      <c r="D6" s="142"/>
      <c r="E6" s="52"/>
      <c r="F6" s="141"/>
      <c r="G6" s="141"/>
      <c r="H6" s="142"/>
      <c r="I6" s="52"/>
      <c r="J6" s="141"/>
      <c r="K6" s="141"/>
      <c r="L6" s="142"/>
      <c r="M6" s="52"/>
      <c r="N6" s="141"/>
      <c r="O6" s="141"/>
      <c r="P6" s="142"/>
      <c r="Q6" s="51"/>
      <c r="S6" s="143"/>
    </row>
    <row r="7" spans="1:20" x14ac:dyDescent="0.3">
      <c r="A7" s="51"/>
      <c r="B7" s="141" t="s">
        <v>29</v>
      </c>
      <c r="C7" s="141"/>
      <c r="D7" s="142">
        <f>SUM(PA_P[VALUE])</f>
        <v>1000</v>
      </c>
      <c r="E7" s="52"/>
      <c r="F7" s="141" t="s">
        <v>29</v>
      </c>
      <c r="G7" s="141"/>
      <c r="H7" s="142">
        <f>SUM(PL_P[VALUE])</f>
        <v>867.5</v>
      </c>
      <c r="I7" s="52"/>
      <c r="J7" s="141" t="s">
        <v>29</v>
      </c>
      <c r="K7" s="141"/>
      <c r="L7" s="142">
        <f>SUM(PT_P[VALUE])</f>
        <v>1051</v>
      </c>
      <c r="M7" s="52"/>
      <c r="N7" s="141" t="s">
        <v>29</v>
      </c>
      <c r="O7" s="141"/>
      <c r="P7" s="142">
        <f>SUM(PW_P[VALUE])</f>
        <v>720</v>
      </c>
      <c r="Q7" s="51"/>
    </row>
    <row r="8" spans="1:20" x14ac:dyDescent="0.3">
      <c r="A8" s="51"/>
      <c r="B8" s="141"/>
      <c r="C8" s="141"/>
      <c r="D8" s="142"/>
      <c r="E8" s="52"/>
      <c r="F8" s="141"/>
      <c r="G8" s="141"/>
      <c r="H8" s="142"/>
      <c r="I8" s="52"/>
      <c r="J8" s="141"/>
      <c r="K8" s="141"/>
      <c r="L8" s="142"/>
      <c r="M8" s="52"/>
      <c r="N8" s="141"/>
      <c r="O8" s="141"/>
      <c r="P8" s="142"/>
      <c r="Q8" s="51"/>
    </row>
    <row r="9" spans="1:20" x14ac:dyDescent="0.3">
      <c r="A9" s="51"/>
      <c r="B9" s="141" t="s">
        <v>30</v>
      </c>
      <c r="C9" s="141"/>
      <c r="D9" s="142">
        <f>D5-D7</f>
        <v>0</v>
      </c>
      <c r="E9" s="52"/>
      <c r="F9" s="141" t="s">
        <v>30</v>
      </c>
      <c r="G9" s="141"/>
      <c r="H9" s="142">
        <f>H5-H7</f>
        <v>132.5</v>
      </c>
      <c r="I9" s="52"/>
      <c r="J9" s="141" t="s">
        <v>30</v>
      </c>
      <c r="K9" s="141"/>
      <c r="L9" s="142">
        <f>L5-L7</f>
        <v>49</v>
      </c>
      <c r="M9" s="52"/>
      <c r="N9" s="141" t="s">
        <v>30</v>
      </c>
      <c r="O9" s="141"/>
      <c r="P9" s="142">
        <f>P5-P7</f>
        <v>280</v>
      </c>
      <c r="Q9" s="51"/>
    </row>
    <row r="10" spans="1:20" x14ac:dyDescent="0.3">
      <c r="A10" s="51"/>
      <c r="B10" s="141"/>
      <c r="C10" s="141"/>
      <c r="D10" s="142"/>
      <c r="E10" s="52"/>
      <c r="F10" s="141"/>
      <c r="G10" s="141"/>
      <c r="H10" s="142"/>
      <c r="I10" s="52"/>
      <c r="J10" s="141"/>
      <c r="K10" s="141"/>
      <c r="L10" s="142"/>
      <c r="M10" s="52"/>
      <c r="N10" s="141"/>
      <c r="O10" s="141"/>
      <c r="P10" s="142"/>
      <c r="Q10" s="51"/>
    </row>
    <row r="11" spans="1:20" ht="38.450000000000003" customHeight="1" x14ac:dyDescent="0.45">
      <c r="A11" s="51"/>
      <c r="B11" s="140" t="s">
        <v>22</v>
      </c>
      <c r="C11" s="140"/>
      <c r="D11" s="140"/>
      <c r="E11" s="54"/>
      <c r="F11" s="140" t="s">
        <v>23</v>
      </c>
      <c r="G11" s="140"/>
      <c r="H11" s="140"/>
      <c r="I11" s="54"/>
      <c r="J11" s="140" t="s">
        <v>21</v>
      </c>
      <c r="K11" s="140"/>
      <c r="L11" s="140"/>
      <c r="M11" s="54"/>
      <c r="N11" s="140" t="s">
        <v>24</v>
      </c>
      <c r="O11" s="140"/>
      <c r="P11" s="140"/>
      <c r="Q11" s="51"/>
    </row>
    <row r="12" spans="1:20" ht="31.75" customHeight="1" x14ac:dyDescent="0.3">
      <c r="A12" s="51"/>
      <c r="B12" s="50" t="s">
        <v>25</v>
      </c>
      <c r="C12" s="2" t="s">
        <v>26</v>
      </c>
      <c r="D12" s="2" t="s">
        <v>27</v>
      </c>
      <c r="E12" s="53"/>
      <c r="F12" s="50" t="s">
        <v>25</v>
      </c>
      <c r="G12" s="2" t="s">
        <v>26</v>
      </c>
      <c r="H12" s="2" t="s">
        <v>27</v>
      </c>
      <c r="I12" s="53"/>
      <c r="J12" s="50" t="s">
        <v>25</v>
      </c>
      <c r="K12" s="2" t="s">
        <v>26</v>
      </c>
      <c r="L12" s="2" t="s">
        <v>27</v>
      </c>
      <c r="M12" s="53"/>
      <c r="N12" s="50" t="s">
        <v>25</v>
      </c>
      <c r="O12" s="2" t="s">
        <v>26</v>
      </c>
      <c r="P12" s="2" t="s">
        <v>27</v>
      </c>
      <c r="Q12" s="51"/>
    </row>
    <row r="13" spans="1:20" ht="14.4" x14ac:dyDescent="0.3">
      <c r="A13" s="51"/>
      <c r="B13" s="72">
        <f>ROWS($B$13:PA_P[[#This Row],[SL NO]])-1</f>
        <v>0</v>
      </c>
      <c r="C13" s="64" t="s">
        <v>32</v>
      </c>
      <c r="D13" s="65" t="s">
        <v>36</v>
      </c>
      <c r="E13" s="51"/>
      <c r="F13" s="72">
        <f>ROWS($F$13:PL_P[[#This Row],[SL NO]])-1</f>
        <v>0</v>
      </c>
      <c r="G13" s="64" t="s">
        <v>33</v>
      </c>
      <c r="H13" s="65" t="s">
        <v>36</v>
      </c>
      <c r="I13" s="51"/>
      <c r="J13" s="72">
        <f>ROWS($J$13:PT_P[[#This Row],[SL NO]])-1</f>
        <v>0</v>
      </c>
      <c r="K13" s="64" t="s">
        <v>34</v>
      </c>
      <c r="L13" s="65" t="s">
        <v>36</v>
      </c>
      <c r="M13" s="51"/>
      <c r="N13" s="72">
        <f>ROWS($N$13:PW_P[[#This Row],[SL NO]])-1</f>
        <v>0</v>
      </c>
      <c r="O13" s="64" t="s">
        <v>35</v>
      </c>
      <c r="P13" s="65" t="s">
        <v>36</v>
      </c>
      <c r="Q13" s="51"/>
    </row>
    <row r="14" spans="1:20" ht="14.4" x14ac:dyDescent="0.3">
      <c r="A14" s="51"/>
      <c r="B14" s="66">
        <f>ROWS($B$13:PA_P[[#This Row],[SL NO]])-1</f>
        <v>1</v>
      </c>
      <c r="C14" s="64" t="s">
        <v>38</v>
      </c>
      <c r="D14" s="67">
        <v>60</v>
      </c>
      <c r="E14" s="51"/>
      <c r="F14" s="66">
        <f>ROWS($F$13:PL_P[[#This Row],[SL NO]])-1</f>
        <v>1</v>
      </c>
      <c r="G14" s="64" t="s">
        <v>40</v>
      </c>
      <c r="H14" s="67">
        <v>65</v>
      </c>
      <c r="I14" s="51"/>
      <c r="J14" s="66">
        <f>ROWS($J$13:PT_P[[#This Row],[SL NO]])-1</f>
        <v>1</v>
      </c>
      <c r="K14" s="64" t="s">
        <v>41</v>
      </c>
      <c r="L14" s="67">
        <v>60</v>
      </c>
      <c r="M14" s="51"/>
      <c r="N14" s="66">
        <f>ROWS($N$13:PW_P[[#This Row],[SL NO]])-1</f>
        <v>1</v>
      </c>
      <c r="O14" s="64" t="s">
        <v>43</v>
      </c>
      <c r="P14" s="67">
        <v>60</v>
      </c>
      <c r="Q14" s="51"/>
    </row>
    <row r="15" spans="1:20" thickBot="1" x14ac:dyDescent="0.35">
      <c r="A15" s="51"/>
      <c r="B15" s="68">
        <f>ROWS($B$13:PA_P[[#This Row],[SL NO]])-1</f>
        <v>2</v>
      </c>
      <c r="C15" s="69" t="s">
        <v>39</v>
      </c>
      <c r="D15" s="70">
        <v>75</v>
      </c>
      <c r="E15" s="51"/>
      <c r="F15" s="68">
        <f>ROWS($F$13:PL_P[[#This Row],[SL NO]])-1</f>
        <v>2</v>
      </c>
      <c r="G15" s="69" t="s">
        <v>91</v>
      </c>
      <c r="H15" s="70">
        <v>35</v>
      </c>
      <c r="I15" s="51"/>
      <c r="J15" s="68">
        <f>ROWS($J$13:PT_P[[#This Row],[SL NO]])-1</f>
        <v>2</v>
      </c>
      <c r="K15" s="69" t="s">
        <v>42</v>
      </c>
      <c r="L15" s="70">
        <v>50</v>
      </c>
      <c r="M15" s="51"/>
      <c r="N15" s="68">
        <f>ROWS($N$13:PW_P[[#This Row],[SL NO]])-1</f>
        <v>2</v>
      </c>
      <c r="O15" s="69" t="s">
        <v>44</v>
      </c>
      <c r="P15" s="70">
        <v>50</v>
      </c>
      <c r="Q15" s="51"/>
    </row>
    <row r="16" spans="1:20" ht="14.4" x14ac:dyDescent="0.3">
      <c r="A16" s="51"/>
      <c r="B16" s="2">
        <f>ROWS($B$13:PA_P[[#This Row],[SL NO]])-1</f>
        <v>3</v>
      </c>
      <c r="C16" s="42" t="s">
        <v>78</v>
      </c>
      <c r="D16">
        <v>65</v>
      </c>
      <c r="E16" s="51"/>
      <c r="F16" s="2">
        <f>ROWS($F$13:PL_P[[#This Row],[SL NO]])-1</f>
        <v>3</v>
      </c>
      <c r="G16" s="42" t="s">
        <v>67</v>
      </c>
      <c r="H16">
        <v>35</v>
      </c>
      <c r="I16" s="51"/>
      <c r="J16" s="2">
        <f>ROWS($J$13:PT_P[[#This Row],[SL NO]])-1</f>
        <v>3</v>
      </c>
      <c r="K16" s="42" t="s">
        <v>69</v>
      </c>
      <c r="L16">
        <v>35</v>
      </c>
      <c r="M16" s="51"/>
      <c r="N16" s="2">
        <f>ROWS($N$13:PW_P[[#This Row],[SL NO]])-1</f>
        <v>3</v>
      </c>
      <c r="O16" s="42" t="s">
        <v>101</v>
      </c>
      <c r="P16">
        <v>15</v>
      </c>
      <c r="Q16" s="51"/>
    </row>
    <row r="17" spans="1:17" ht="14.4" x14ac:dyDescent="0.3">
      <c r="A17" s="51"/>
      <c r="B17" s="2">
        <f>ROWS($B$13:PA_P[[#This Row],[SL NO]])-1</f>
        <v>4</v>
      </c>
      <c r="C17" s="42" t="s">
        <v>55</v>
      </c>
      <c r="D17">
        <v>20</v>
      </c>
      <c r="E17" s="51"/>
      <c r="F17" s="2">
        <f>ROWS($F$13:PL_P[[#This Row],[SL NO]])-1</f>
        <v>4</v>
      </c>
      <c r="G17" s="42" t="s">
        <v>93</v>
      </c>
      <c r="H17">
        <v>25</v>
      </c>
      <c r="I17" s="51"/>
      <c r="J17" s="2">
        <f>ROWS($J$13:PT_P[[#This Row],[SL NO]])-1</f>
        <v>4</v>
      </c>
      <c r="K17" s="42" t="s">
        <v>58</v>
      </c>
      <c r="L17">
        <v>30</v>
      </c>
      <c r="M17" s="51"/>
      <c r="N17" s="2">
        <f>ROWS($N$13:PW_P[[#This Row],[SL NO]])-1</f>
        <v>4</v>
      </c>
      <c r="O17" s="42" t="s">
        <v>53</v>
      </c>
      <c r="P17">
        <v>40</v>
      </c>
      <c r="Q17" s="51"/>
    </row>
    <row r="18" spans="1:17" ht="14.4" x14ac:dyDescent="0.3">
      <c r="A18" s="51"/>
      <c r="B18" s="2">
        <f>ROWS($B$13:PA_P[[#This Row],[SL NO]])-1</f>
        <v>5</v>
      </c>
      <c r="C18" s="42" t="s">
        <v>50</v>
      </c>
      <c r="D18">
        <v>40</v>
      </c>
      <c r="E18" s="51"/>
      <c r="F18" s="2">
        <f>ROWS($F$13:PL_P[[#This Row],[SL NO]])-1</f>
        <v>5</v>
      </c>
      <c r="G18" s="42" t="s">
        <v>77</v>
      </c>
      <c r="H18">
        <v>125</v>
      </c>
      <c r="I18" s="51"/>
      <c r="J18" s="2">
        <f>ROWS($J$13:PT_P[[#This Row],[SL NO]])-1</f>
        <v>5</v>
      </c>
      <c r="K18" s="42" t="s">
        <v>94</v>
      </c>
      <c r="L18">
        <v>40</v>
      </c>
      <c r="M18" s="51"/>
      <c r="N18" s="2">
        <f>ROWS($N$13:PW_P[[#This Row],[SL NO]])-1</f>
        <v>5</v>
      </c>
      <c r="O18" s="42" t="s">
        <v>76</v>
      </c>
      <c r="P18">
        <v>55</v>
      </c>
      <c r="Q18" s="51"/>
    </row>
    <row r="19" spans="1:17" ht="14.4" x14ac:dyDescent="0.3">
      <c r="A19" s="51"/>
      <c r="B19" s="2">
        <f>ROWS($B$13:PA_P[[#This Row],[SL NO]])-1</f>
        <v>6</v>
      </c>
      <c r="C19" s="42" t="s">
        <v>64</v>
      </c>
      <c r="D19">
        <v>30</v>
      </c>
      <c r="E19" s="51"/>
      <c r="F19" s="2">
        <f>ROWS($F$13:PL_P[[#This Row],[SL NO]])-1</f>
        <v>6</v>
      </c>
      <c r="G19" s="42" t="s">
        <v>62</v>
      </c>
      <c r="H19">
        <v>40</v>
      </c>
      <c r="I19" s="51"/>
      <c r="J19" s="2">
        <f>ROWS($J$13:PT_P[[#This Row],[SL NO]])-1</f>
        <v>6</v>
      </c>
      <c r="K19" s="42" t="s">
        <v>63</v>
      </c>
      <c r="L19">
        <v>145</v>
      </c>
      <c r="M19" s="51"/>
      <c r="N19" s="2">
        <f>ROWS($N$13:PW_P[[#This Row],[SL NO]])-1</f>
        <v>6</v>
      </c>
      <c r="O19" s="42" t="s">
        <v>85</v>
      </c>
      <c r="P19">
        <v>15</v>
      </c>
      <c r="Q19" s="51"/>
    </row>
    <row r="20" spans="1:17" ht="14.4" x14ac:dyDescent="0.3">
      <c r="A20" s="51"/>
      <c r="B20" s="2">
        <f>ROWS($B$13:PA_P[[#This Row],[SL NO]])-1</f>
        <v>7</v>
      </c>
      <c r="C20" s="42" t="s">
        <v>75</v>
      </c>
      <c r="D20">
        <v>615</v>
      </c>
      <c r="E20" s="51"/>
      <c r="F20" s="2">
        <f>ROWS($F$13:PL_P[[#This Row],[SL NO]])-1</f>
        <v>7</v>
      </c>
      <c r="G20" s="42" t="s">
        <v>68</v>
      </c>
      <c r="H20">
        <v>95</v>
      </c>
      <c r="I20" s="51"/>
      <c r="J20" s="2">
        <f>ROWS($J$13:PT_P[[#This Row],[SL NO]])-1</f>
        <v>7</v>
      </c>
      <c r="K20" s="42" t="s">
        <v>71</v>
      </c>
      <c r="L20">
        <v>140</v>
      </c>
      <c r="M20" s="51"/>
      <c r="N20" s="2">
        <f>ROWS($N$13:PW_P[[#This Row],[SL NO]])-1</f>
        <v>7</v>
      </c>
      <c r="O20" s="42" t="s">
        <v>92</v>
      </c>
      <c r="P20">
        <v>115</v>
      </c>
      <c r="Q20" s="51"/>
    </row>
    <row r="21" spans="1:17" ht="14.4" x14ac:dyDescent="0.3">
      <c r="A21" s="51"/>
      <c r="B21" s="2">
        <f>ROWS($B$13:PA_P[[#This Row],[SL NO]])-1</f>
        <v>8</v>
      </c>
      <c r="C21" s="42" t="s">
        <v>87</v>
      </c>
      <c r="D21">
        <v>75</v>
      </c>
      <c r="E21" s="51"/>
      <c r="F21" s="2">
        <f>ROWS($F$13:PL_P[[#This Row],[SL NO]])-1</f>
        <v>8</v>
      </c>
      <c r="G21" s="42" t="s">
        <v>90</v>
      </c>
      <c r="H21">
        <v>230</v>
      </c>
      <c r="I21" s="51"/>
      <c r="J21" s="2">
        <f>ROWS($J$13:PT_P[[#This Row],[SL NO]])-1</f>
        <v>8</v>
      </c>
      <c r="K21" s="42" t="s">
        <v>79</v>
      </c>
      <c r="L21">
        <v>420</v>
      </c>
      <c r="M21" s="51"/>
      <c r="N21" s="2">
        <f>ROWS($N$13:PW_P[[#This Row],[SL NO]])-1</f>
        <v>8</v>
      </c>
      <c r="O21" s="42" t="s">
        <v>59</v>
      </c>
      <c r="P21">
        <v>30</v>
      </c>
      <c r="Q21" s="51"/>
    </row>
    <row r="22" spans="1:17" ht="14.4" x14ac:dyDescent="0.3">
      <c r="A22" s="51"/>
      <c r="B22" s="2">
        <f>ROWS($B$13:PA_P[[#This Row],[SL NO]])-1</f>
        <v>9</v>
      </c>
      <c r="C22" s="42" t="s">
        <v>97</v>
      </c>
      <c r="D22">
        <v>5</v>
      </c>
      <c r="E22" s="51"/>
      <c r="F22" s="2">
        <f>ROWS($F$13:PL_P[[#This Row],[SL NO]])-1</f>
        <v>9</v>
      </c>
      <c r="G22" s="42" t="s">
        <v>73</v>
      </c>
      <c r="H22">
        <v>150</v>
      </c>
      <c r="I22" s="51"/>
      <c r="J22" s="2">
        <f>ROWS($J$13:PT_P[[#This Row],[SL NO]])-1</f>
        <v>9</v>
      </c>
      <c r="K22" s="42" t="s">
        <v>74</v>
      </c>
      <c r="L22">
        <v>90</v>
      </c>
      <c r="M22" s="51"/>
      <c r="N22" s="2">
        <f>ROWS($N$13:PW_P[[#This Row],[SL NO]])-1</f>
        <v>9</v>
      </c>
      <c r="O22" s="42" t="s">
        <v>65</v>
      </c>
      <c r="P22">
        <v>80</v>
      </c>
      <c r="Q22" s="51"/>
    </row>
    <row r="23" spans="1:17" ht="14.4" x14ac:dyDescent="0.3">
      <c r="A23" s="51"/>
      <c r="B23" s="2">
        <f>ROWS($B$13:PA_P[[#This Row],[SL NO]])-1</f>
        <v>10</v>
      </c>
      <c r="C23" s="42" t="s">
        <v>98</v>
      </c>
      <c r="D23">
        <v>10</v>
      </c>
      <c r="E23" s="51"/>
      <c r="F23" s="2">
        <f>ROWS($F$13:PL_P[[#This Row],[SL NO]])-1</f>
        <v>10</v>
      </c>
      <c r="G23" s="42" t="s">
        <v>99</v>
      </c>
      <c r="H23">
        <v>60</v>
      </c>
      <c r="I23" s="51"/>
      <c r="J23" s="2">
        <f>ROWS($J$13:PT_P[[#This Row],[SL NO]])-1</f>
        <v>10</v>
      </c>
      <c r="K23" s="42" t="s">
        <v>95</v>
      </c>
      <c r="L23">
        <v>23</v>
      </c>
      <c r="M23" s="51"/>
      <c r="N23" s="2">
        <f>ROWS($N$13:PW_P[[#This Row],[SL NO]])-1</f>
        <v>10</v>
      </c>
      <c r="O23" s="42" t="s">
        <v>89</v>
      </c>
      <c r="P23">
        <v>135</v>
      </c>
      <c r="Q23" s="51"/>
    </row>
    <row r="24" spans="1:17" ht="14.4" x14ac:dyDescent="0.3">
      <c r="A24" s="51"/>
      <c r="B24" s="2">
        <f>ROWS($B$13:PA_P[[#This Row],[SL NO]])-1</f>
        <v>11</v>
      </c>
      <c r="C24" s="42" t="s">
        <v>72</v>
      </c>
      <c r="D24">
        <v>5</v>
      </c>
      <c r="E24" s="51"/>
      <c r="F24" s="2">
        <f>ROWS($F$13:PL_P[[#This Row],[SL NO]])-1</f>
        <v>11</v>
      </c>
      <c r="G24" s="42" t="s">
        <v>100</v>
      </c>
      <c r="H24">
        <v>7.5</v>
      </c>
      <c r="I24" s="51"/>
      <c r="J24" s="2">
        <f>ROWS($J$13:PT_P[[#This Row],[SL NO]])-1</f>
        <v>11</v>
      </c>
      <c r="K24" s="42" t="s">
        <v>96</v>
      </c>
      <c r="L24">
        <v>18</v>
      </c>
      <c r="M24" s="51"/>
      <c r="N24" s="2">
        <f>ROWS($N$13:PW_P[[#This Row],[SL NO]])-1</f>
        <v>11</v>
      </c>
      <c r="O24" s="42" t="s">
        <v>86</v>
      </c>
      <c r="P24">
        <v>125</v>
      </c>
      <c r="Q24" s="51"/>
    </row>
    <row r="25" spans="1:17" ht="14.4" x14ac:dyDescent="0.3">
      <c r="A25" s="51"/>
      <c r="B25" s="2">
        <f>ROWS($B$13:PA_P[[#This Row],[SL NO]])-1</f>
        <v>12</v>
      </c>
      <c r="C25" s="42"/>
      <c r="E25" s="51"/>
      <c r="F25" s="2">
        <f>ROWS($F$13:PL_P[[#This Row],[SL NO]])-1</f>
        <v>12</v>
      </c>
      <c r="G25" s="42"/>
      <c r="I25" s="51"/>
      <c r="J25" s="2">
        <f>ROWS($J$13:PT_P[[#This Row],[SL NO]])-1</f>
        <v>12</v>
      </c>
      <c r="K25" s="42"/>
      <c r="M25" s="51"/>
      <c r="N25" s="2">
        <f>ROWS($N$13:PW_P[[#This Row],[SL NO]])-1</f>
        <v>12</v>
      </c>
      <c r="O25" s="42"/>
      <c r="Q25" s="51"/>
    </row>
    <row r="26" spans="1:17" ht="14.4" x14ac:dyDescent="0.3">
      <c r="A26" s="51"/>
      <c r="B26" s="2">
        <f>ROWS($B$13:PA_P[[#This Row],[SL NO]])-1</f>
        <v>13</v>
      </c>
      <c r="C26" s="42"/>
      <c r="E26" s="51"/>
      <c r="F26" s="2">
        <f>ROWS($F$13:PL_P[[#This Row],[SL NO]])-1</f>
        <v>13</v>
      </c>
      <c r="G26" s="42"/>
      <c r="I26" s="51"/>
      <c r="J26" s="2">
        <f>ROWS($J$13:PT_P[[#This Row],[SL NO]])-1</f>
        <v>13</v>
      </c>
      <c r="K26" s="42"/>
      <c r="M26" s="51"/>
      <c r="N26" s="2">
        <f>ROWS($N$13:PW_P[[#This Row],[SL NO]])-1</f>
        <v>13</v>
      </c>
      <c r="O26" s="42"/>
      <c r="Q26" s="51"/>
    </row>
    <row r="27" spans="1:17" ht="14.4" x14ac:dyDescent="0.3">
      <c r="A27" s="51"/>
      <c r="B27" s="2">
        <f>ROWS($B$13:PA_P[[#This Row],[SL NO]])-1</f>
        <v>14</v>
      </c>
      <c r="C27" s="42"/>
      <c r="E27" s="51"/>
      <c r="F27" s="2">
        <f>ROWS($F$13:PL_P[[#This Row],[SL NO]])-1</f>
        <v>14</v>
      </c>
      <c r="G27" s="42"/>
      <c r="I27" s="51"/>
      <c r="J27" s="2">
        <f>ROWS($J$13:PT_P[[#This Row],[SL NO]])-1</f>
        <v>14</v>
      </c>
      <c r="K27" s="42"/>
      <c r="M27" s="51"/>
      <c r="N27" s="2">
        <f>ROWS($N$13:PW_P[[#This Row],[SL NO]])-1</f>
        <v>14</v>
      </c>
      <c r="O27" s="42"/>
      <c r="Q27" s="51"/>
    </row>
    <row r="28" spans="1:17" ht="14.4" x14ac:dyDescent="0.3">
      <c r="A28" s="51"/>
      <c r="B28" s="2">
        <f>ROWS($B$13:PA_P[[#This Row],[SL NO]])-1</f>
        <v>15</v>
      </c>
      <c r="C28" s="42"/>
      <c r="E28" s="51"/>
      <c r="F28" s="2">
        <f>ROWS($F$13:PL_P[[#This Row],[SL NO]])-1</f>
        <v>15</v>
      </c>
      <c r="G28" s="42"/>
      <c r="I28" s="51"/>
      <c r="J28" s="2">
        <f>ROWS($J$13:PT_P[[#This Row],[SL NO]])-1</f>
        <v>15</v>
      </c>
      <c r="K28" s="42"/>
      <c r="M28" s="51"/>
      <c r="N28" s="2">
        <f>ROWS($N$13:PW_P[[#This Row],[SL NO]])-1</f>
        <v>15</v>
      </c>
      <c r="O28" s="42"/>
      <c r="Q28" s="51"/>
    </row>
    <row r="29" spans="1:17" x14ac:dyDescent="0.3">
      <c r="A29" s="51"/>
      <c r="B29" s="2">
        <f>ROWS($B$13:PA_P[[#This Row],[SL NO]])-1</f>
        <v>16</v>
      </c>
      <c r="C29" s="42"/>
      <c r="E29" s="51"/>
      <c r="F29" s="2">
        <f>ROWS($F$13:PL_P[[#This Row],[SL NO]])-1</f>
        <v>16</v>
      </c>
      <c r="G29" s="42"/>
      <c r="I29" s="51"/>
      <c r="J29" s="2">
        <f>ROWS($J$13:PT_P[[#This Row],[SL NO]])-1</f>
        <v>16</v>
      </c>
      <c r="K29" s="42"/>
      <c r="M29" s="51"/>
      <c r="N29" s="2">
        <f>ROWS($N$13:PW_P[[#This Row],[SL NO]])-1</f>
        <v>16</v>
      </c>
      <c r="O29" s="42"/>
      <c r="Q29" s="51"/>
    </row>
    <row r="30" spans="1:17" x14ac:dyDescent="0.3">
      <c r="A30" s="51"/>
      <c r="B30" s="2">
        <f>ROWS($B$13:PA_P[[#This Row],[SL NO]])-1</f>
        <v>17</v>
      </c>
      <c r="C30" s="42"/>
      <c r="E30" s="51"/>
      <c r="F30" s="2">
        <f>ROWS($F$13:PL_P[[#This Row],[SL NO]])-1</f>
        <v>17</v>
      </c>
      <c r="G30" s="42"/>
      <c r="I30" s="51"/>
      <c r="J30" s="2">
        <f>ROWS($J$13:PT_P[[#This Row],[SL NO]])-1</f>
        <v>17</v>
      </c>
      <c r="K30" s="42"/>
      <c r="M30" s="51"/>
      <c r="N30" s="2">
        <f>ROWS($N$13:PW_P[[#This Row],[SL NO]])-1</f>
        <v>17</v>
      </c>
      <c r="O30" s="42"/>
      <c r="Q30" s="51"/>
    </row>
    <row r="31" spans="1:17" x14ac:dyDescent="0.3">
      <c r="A31" s="51"/>
      <c r="B31" s="2">
        <f>ROWS($B$13:PA_P[[#This Row],[SL NO]])-1</f>
        <v>18</v>
      </c>
      <c r="C31" s="42"/>
      <c r="E31" s="51"/>
      <c r="F31" s="2">
        <f>ROWS($F$13:PL_P[[#This Row],[SL NO]])-1</f>
        <v>18</v>
      </c>
      <c r="G31" s="42"/>
      <c r="I31" s="51"/>
      <c r="J31" s="2">
        <f>ROWS($J$13:PT_P[[#This Row],[SL NO]])-1</f>
        <v>18</v>
      </c>
      <c r="K31" s="42"/>
      <c r="M31" s="51"/>
      <c r="N31" s="2">
        <f>ROWS($N$13:PW_P[[#This Row],[SL NO]])-1</f>
        <v>18</v>
      </c>
      <c r="O31" s="42"/>
      <c r="Q31" s="51"/>
    </row>
    <row r="32" spans="1:17" x14ac:dyDescent="0.3">
      <c r="A32" s="51"/>
      <c r="B32" s="2">
        <f>ROWS($B$13:PA_P[[#This Row],[SL NO]])-1</f>
        <v>19</v>
      </c>
      <c r="C32" s="42"/>
      <c r="E32" s="51"/>
      <c r="F32" s="2">
        <f>ROWS($F$13:PL_P[[#This Row],[SL NO]])-1</f>
        <v>19</v>
      </c>
      <c r="G32" s="42"/>
      <c r="I32" s="51"/>
      <c r="J32" s="2">
        <f>ROWS($J$13:PT_P[[#This Row],[SL NO]])-1</f>
        <v>19</v>
      </c>
      <c r="K32" s="42"/>
      <c r="M32" s="51"/>
      <c r="N32" s="2">
        <f>ROWS($N$13:PW_P[[#This Row],[SL NO]])-1</f>
        <v>19</v>
      </c>
      <c r="O32" s="42"/>
      <c r="Q32" s="51"/>
    </row>
    <row r="33" spans="1:17" x14ac:dyDescent="0.3">
      <c r="A33" s="51"/>
      <c r="B33" s="2">
        <f>ROWS($B$13:PA_P[[#This Row],[SL NO]])-1</f>
        <v>20</v>
      </c>
      <c r="C33" s="42"/>
      <c r="E33" s="51"/>
      <c r="F33" s="2">
        <f>ROWS($F$13:PL_P[[#This Row],[SL NO]])-1</f>
        <v>20</v>
      </c>
      <c r="G33" s="42"/>
      <c r="I33" s="51"/>
      <c r="J33" s="2">
        <f>ROWS($J$13:PT_P[[#This Row],[SL NO]])-1</f>
        <v>20</v>
      </c>
      <c r="K33" s="42"/>
      <c r="M33" s="51"/>
      <c r="N33" s="2">
        <f>ROWS($N$13:PW_P[[#This Row],[SL NO]])-1</f>
        <v>20</v>
      </c>
      <c r="O33" s="42"/>
      <c r="Q33" s="51"/>
    </row>
    <row r="34" spans="1:17" x14ac:dyDescent="0.3">
      <c r="A34" s="51"/>
      <c r="B34" s="2">
        <f>ROWS($B$13:PA_P[[#This Row],[SL NO]])-1</f>
        <v>21</v>
      </c>
      <c r="C34" s="42"/>
      <c r="E34" s="51"/>
      <c r="F34" s="2">
        <f>ROWS($F$13:PL_P[[#This Row],[SL NO]])-1</f>
        <v>21</v>
      </c>
      <c r="G34" s="42"/>
      <c r="I34" s="51"/>
      <c r="J34" s="2">
        <f>ROWS($J$13:PT_P[[#This Row],[SL NO]])-1</f>
        <v>21</v>
      </c>
      <c r="K34" s="42"/>
      <c r="M34" s="51"/>
      <c r="N34" s="2">
        <f>ROWS($N$13:PW_P[[#This Row],[SL NO]])-1</f>
        <v>21</v>
      </c>
      <c r="O34" s="42"/>
      <c r="Q34" s="51"/>
    </row>
    <row r="35" spans="1:17" x14ac:dyDescent="0.3">
      <c r="A35" s="51"/>
      <c r="B35" s="2">
        <f>ROWS($B$13:PA_P[[#This Row],[SL NO]])-1</f>
        <v>22</v>
      </c>
      <c r="C35" s="42"/>
      <c r="E35" s="51"/>
      <c r="F35" s="2">
        <f>ROWS($F$13:PL_P[[#This Row],[SL NO]])-1</f>
        <v>22</v>
      </c>
      <c r="G35" s="42"/>
      <c r="I35" s="51"/>
      <c r="J35" s="2">
        <f>ROWS($J$13:PT_P[[#This Row],[SL NO]])-1</f>
        <v>22</v>
      </c>
      <c r="K35" s="42"/>
      <c r="M35" s="51"/>
      <c r="N35" s="2">
        <f>ROWS($N$13:PW_P[[#This Row],[SL NO]])-1</f>
        <v>22</v>
      </c>
      <c r="O35" s="42"/>
      <c r="Q35" s="51"/>
    </row>
    <row r="36" spans="1:17" x14ac:dyDescent="0.3">
      <c r="A36" s="51"/>
      <c r="B36" s="2">
        <f>ROWS($B$13:PA_P[[#This Row],[SL NO]])-1</f>
        <v>23</v>
      </c>
      <c r="C36" s="42"/>
      <c r="E36" s="51"/>
      <c r="F36" s="2">
        <f>ROWS($F$13:PL_P[[#This Row],[SL NO]])-1</f>
        <v>23</v>
      </c>
      <c r="G36" s="42"/>
      <c r="I36" s="51"/>
      <c r="J36" s="2">
        <f>ROWS($J$13:PT_P[[#This Row],[SL NO]])-1</f>
        <v>23</v>
      </c>
      <c r="K36" s="42"/>
      <c r="M36" s="51"/>
      <c r="N36" s="2">
        <f>ROWS($N$13:PW_P[[#This Row],[SL NO]])-1</f>
        <v>23</v>
      </c>
      <c r="O36" s="42"/>
      <c r="Q36" s="51"/>
    </row>
    <row r="37" spans="1:17" x14ac:dyDescent="0.3">
      <c r="A37" s="51"/>
      <c r="B37" s="2">
        <f>ROWS($B$13:PA_P[[#This Row],[SL NO]])-1</f>
        <v>24</v>
      </c>
      <c r="C37" s="42"/>
      <c r="E37" s="51"/>
      <c r="F37" s="2">
        <f>ROWS($F$13:PL_P[[#This Row],[SL NO]])-1</f>
        <v>24</v>
      </c>
      <c r="G37" s="42"/>
      <c r="I37" s="51"/>
      <c r="J37" s="2">
        <f>ROWS($J$13:PT_P[[#This Row],[SL NO]])-1</f>
        <v>24</v>
      </c>
      <c r="K37" s="42"/>
      <c r="M37" s="51"/>
      <c r="N37" s="2">
        <f>ROWS($N$13:PW_P[[#This Row],[SL NO]])-1</f>
        <v>24</v>
      </c>
      <c r="O37" s="42"/>
      <c r="Q37" s="51"/>
    </row>
    <row r="38" spans="1:17" x14ac:dyDescent="0.3">
      <c r="A38" s="51"/>
      <c r="E38" s="51"/>
      <c r="I38" s="51"/>
      <c r="M38" s="51"/>
      <c r="Q38" s="51"/>
    </row>
    <row r="39" spans="1:17" x14ac:dyDescent="0.3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</row>
  </sheetData>
  <mergeCells count="32">
    <mergeCell ref="S3:S6"/>
    <mergeCell ref="C1:C3"/>
    <mergeCell ref="G1:G3"/>
    <mergeCell ref="K1:K3"/>
    <mergeCell ref="P5:P6"/>
    <mergeCell ref="P7:P8"/>
    <mergeCell ref="P9:P10"/>
    <mergeCell ref="B9:C10"/>
    <mergeCell ref="D9:D10"/>
    <mergeCell ref="D5:D6"/>
    <mergeCell ref="D7:D8"/>
    <mergeCell ref="H5:H6"/>
    <mergeCell ref="H7:H8"/>
    <mergeCell ref="H9:H10"/>
    <mergeCell ref="L5:L6"/>
    <mergeCell ref="L7:L8"/>
    <mergeCell ref="L9:L10"/>
    <mergeCell ref="N5:O6"/>
    <mergeCell ref="N7:O8"/>
    <mergeCell ref="N9:O10"/>
    <mergeCell ref="F5:G6"/>
    <mergeCell ref="F7:G8"/>
    <mergeCell ref="B7:C8"/>
    <mergeCell ref="B5:C6"/>
    <mergeCell ref="J5:K6"/>
    <mergeCell ref="J7:K8"/>
    <mergeCell ref="N11:P11"/>
    <mergeCell ref="J9:K10"/>
    <mergeCell ref="F9:G10"/>
    <mergeCell ref="B11:D11"/>
    <mergeCell ref="F11:H11"/>
    <mergeCell ref="J11:L11"/>
  </mergeCell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5A543-2333-4324-BD2D-6FC27237EB49}">
  <sheetPr codeName="Sheet6"/>
  <dimension ref="A1:Z44"/>
  <sheetViews>
    <sheetView showGridLines="0" showRowColHeaders="0" tabSelected="1" topLeftCell="A13" workbookViewId="0">
      <selection activeCell="L66" sqref="L66"/>
    </sheetView>
  </sheetViews>
  <sheetFormatPr defaultRowHeight="15.05" x14ac:dyDescent="0.3"/>
  <cols>
    <col min="1" max="1" width="5.109375" customWidth="1"/>
    <col min="2" max="2" width="2.6640625" customWidth="1"/>
    <col min="25" max="25" width="2.6640625" customWidth="1"/>
  </cols>
  <sheetData>
    <row r="1" spans="1:26" x14ac:dyDescent="0.3">
      <c r="A1" s="51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51"/>
    </row>
    <row r="2" spans="1:26" x14ac:dyDescent="0.3">
      <c r="A2" s="51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51"/>
    </row>
    <row r="3" spans="1:26" x14ac:dyDescent="0.3">
      <c r="A3" s="51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51"/>
    </row>
    <row r="4" spans="1:26" x14ac:dyDescent="0.3">
      <c r="A4" s="51"/>
      <c r="B4" s="78"/>
      <c r="C4" s="148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9"/>
      <c r="Y4" s="78"/>
      <c r="Z4" s="51"/>
    </row>
    <row r="5" spans="1:26" x14ac:dyDescent="0.3">
      <c r="A5" s="51"/>
      <c r="B5" s="78"/>
      <c r="C5" s="148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9"/>
      <c r="Y5" s="78"/>
      <c r="Z5" s="51"/>
    </row>
    <row r="6" spans="1:26" x14ac:dyDescent="0.3">
      <c r="A6" s="51"/>
      <c r="B6" s="78"/>
      <c r="C6" s="148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9"/>
      <c r="Y6" s="78"/>
      <c r="Z6" s="51"/>
    </row>
    <row r="7" spans="1:26" x14ac:dyDescent="0.3">
      <c r="A7" s="51"/>
      <c r="B7" s="78"/>
      <c r="C7" s="75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6"/>
      <c r="Y7" s="78"/>
      <c r="Z7" s="51"/>
    </row>
    <row r="8" spans="1:26" x14ac:dyDescent="0.3">
      <c r="A8" s="51"/>
      <c r="B8" s="78"/>
      <c r="C8" s="75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6"/>
      <c r="Y8" s="78"/>
      <c r="Z8" s="51"/>
    </row>
    <row r="9" spans="1:26" x14ac:dyDescent="0.3">
      <c r="A9" s="51"/>
      <c r="B9" s="78"/>
      <c r="C9" s="75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6"/>
      <c r="Y9" s="78"/>
      <c r="Z9" s="51"/>
    </row>
    <row r="10" spans="1:26" x14ac:dyDescent="0.3">
      <c r="A10" s="51"/>
      <c r="B10" s="78"/>
      <c r="C10" s="75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6"/>
      <c r="Y10" s="78"/>
      <c r="Z10" s="51"/>
    </row>
    <row r="11" spans="1:26" x14ac:dyDescent="0.3">
      <c r="A11" s="51"/>
      <c r="B11" s="78"/>
      <c r="C11" s="75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6"/>
      <c r="Y11" s="78"/>
      <c r="Z11" s="51"/>
    </row>
    <row r="12" spans="1:26" x14ac:dyDescent="0.3">
      <c r="A12" s="51"/>
      <c r="B12" s="78"/>
      <c r="C12" s="75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6"/>
      <c r="Y12" s="78"/>
      <c r="Z12" s="51"/>
    </row>
    <row r="13" spans="1:26" x14ac:dyDescent="0.3">
      <c r="A13" s="51"/>
      <c r="B13" s="78"/>
      <c r="C13" s="75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6"/>
      <c r="Y13" s="78"/>
      <c r="Z13" s="51"/>
    </row>
    <row r="14" spans="1:26" x14ac:dyDescent="0.3">
      <c r="A14" s="51"/>
      <c r="B14" s="78"/>
      <c r="C14" s="75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6"/>
      <c r="Y14" s="78"/>
      <c r="Z14" s="51"/>
    </row>
    <row r="15" spans="1:26" x14ac:dyDescent="0.3">
      <c r="A15" s="51"/>
      <c r="B15" s="78"/>
      <c r="C15" s="75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6"/>
      <c r="Y15" s="78"/>
      <c r="Z15" s="51"/>
    </row>
    <row r="16" spans="1:26" x14ac:dyDescent="0.3">
      <c r="A16" s="51"/>
      <c r="B16" s="78"/>
      <c r="C16" s="75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6"/>
      <c r="Y16" s="78"/>
      <c r="Z16" s="51"/>
    </row>
    <row r="17" spans="1:26" x14ac:dyDescent="0.3">
      <c r="A17" s="51"/>
      <c r="B17" s="78"/>
      <c r="C17" s="75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6"/>
      <c r="Y17" s="78"/>
      <c r="Z17" s="51"/>
    </row>
    <row r="18" spans="1:26" x14ac:dyDescent="0.3">
      <c r="A18" s="51"/>
      <c r="B18" s="78"/>
      <c r="C18" s="75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6"/>
      <c r="Y18" s="78"/>
      <c r="Z18" s="51"/>
    </row>
    <row r="19" spans="1:26" x14ac:dyDescent="0.3">
      <c r="A19" s="51"/>
      <c r="B19" s="78"/>
      <c r="C19" s="75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6"/>
      <c r="Y19" s="78"/>
      <c r="Z19" s="51"/>
    </row>
    <row r="20" spans="1:26" x14ac:dyDescent="0.3">
      <c r="A20" s="51"/>
      <c r="B20" s="78"/>
      <c r="C20" s="75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6"/>
      <c r="Y20" s="78"/>
      <c r="Z20" s="51"/>
    </row>
    <row r="21" spans="1:26" x14ac:dyDescent="0.3">
      <c r="A21" s="51"/>
      <c r="B21" s="78"/>
      <c r="C21" s="75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6"/>
      <c r="Y21" s="78"/>
      <c r="Z21" s="51"/>
    </row>
    <row r="22" spans="1:26" x14ac:dyDescent="0.3">
      <c r="A22" s="51"/>
      <c r="B22" s="78"/>
      <c r="C22" s="75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6"/>
      <c r="Y22" s="78"/>
      <c r="Z22" s="51"/>
    </row>
    <row r="23" spans="1:26" x14ac:dyDescent="0.3">
      <c r="A23" s="51"/>
      <c r="B23" s="78"/>
      <c r="C23" s="75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6"/>
      <c r="Y23" s="78"/>
      <c r="Z23" s="51"/>
    </row>
    <row r="24" spans="1:26" x14ac:dyDescent="0.3">
      <c r="A24" s="51"/>
      <c r="B24" s="78"/>
      <c r="C24" s="152"/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4"/>
      <c r="O24" s="154"/>
      <c r="P24" s="154"/>
      <c r="Q24" s="154"/>
      <c r="R24" s="154"/>
      <c r="S24" s="154"/>
      <c r="T24" s="154"/>
      <c r="U24" s="154"/>
      <c r="V24" s="154"/>
      <c r="W24" s="154"/>
      <c r="X24" s="153"/>
      <c r="Y24" s="78"/>
      <c r="Z24" s="51"/>
    </row>
    <row r="25" spans="1:26" x14ac:dyDescent="0.3">
      <c r="A25" s="51"/>
      <c r="B25" s="78"/>
      <c r="C25" s="152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3"/>
      <c r="Y25" s="78"/>
      <c r="Z25" s="51"/>
    </row>
    <row r="26" spans="1:26" x14ac:dyDescent="0.3">
      <c r="A26" s="51"/>
      <c r="B26" s="78"/>
      <c r="C26" s="152"/>
      <c r="D26" s="154"/>
      <c r="E26" s="154"/>
      <c r="F26" s="154"/>
      <c r="G26" s="154"/>
      <c r="H26" s="154"/>
      <c r="I26" s="154"/>
      <c r="J26" s="154"/>
      <c r="K26" s="154"/>
      <c r="L26" s="154"/>
      <c r="M26" s="154"/>
      <c r="N26" s="154"/>
      <c r="O26" s="154"/>
      <c r="P26" s="154"/>
      <c r="Q26" s="154"/>
      <c r="R26" s="154"/>
      <c r="S26" s="154"/>
      <c r="T26" s="154"/>
      <c r="U26" s="154"/>
      <c r="V26" s="154"/>
      <c r="W26" s="154"/>
      <c r="X26" s="153"/>
      <c r="Y26" s="78"/>
      <c r="Z26" s="51"/>
    </row>
    <row r="27" spans="1:26" x14ac:dyDescent="0.3">
      <c r="A27" s="51"/>
      <c r="B27" s="78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78"/>
      <c r="Z27" s="51"/>
    </row>
    <row r="28" spans="1:26" x14ac:dyDescent="0.3">
      <c r="A28" s="51"/>
      <c r="B28" s="78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78"/>
      <c r="Z28" s="51"/>
    </row>
    <row r="29" spans="1:26" x14ac:dyDescent="0.3">
      <c r="A29" s="51"/>
      <c r="B29" s="78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78"/>
      <c r="Z29" s="51"/>
    </row>
    <row r="30" spans="1:26" x14ac:dyDescent="0.3">
      <c r="A30" s="51"/>
      <c r="B30" s="78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78"/>
      <c r="Z30" s="51"/>
    </row>
    <row r="31" spans="1:26" x14ac:dyDescent="0.3">
      <c r="A31" s="51"/>
      <c r="B31" s="78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78"/>
      <c r="Z31" s="51"/>
    </row>
    <row r="32" spans="1:26" x14ac:dyDescent="0.3">
      <c r="A32" s="51"/>
      <c r="B32" s="78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78"/>
      <c r="Z32" s="51"/>
    </row>
    <row r="33" spans="1:26" x14ac:dyDescent="0.3">
      <c r="A33" s="51"/>
      <c r="B33" s="78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1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78"/>
      <c r="Z33" s="51"/>
    </row>
    <row r="34" spans="1:26" x14ac:dyDescent="0.3">
      <c r="A34" s="51"/>
      <c r="B34" s="78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78"/>
      <c r="Z34" s="51"/>
    </row>
    <row r="35" spans="1:26" x14ac:dyDescent="0.3">
      <c r="A35" s="51"/>
      <c r="B35" s="78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78"/>
      <c r="Z35" s="51"/>
    </row>
    <row r="36" spans="1:26" x14ac:dyDescent="0.3">
      <c r="A36" s="51"/>
      <c r="B36" s="78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78"/>
      <c r="Z36" s="51"/>
    </row>
    <row r="37" spans="1:26" x14ac:dyDescent="0.3">
      <c r="A37" s="51"/>
      <c r="B37" s="78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1"/>
      <c r="O37" s="151"/>
      <c r="P37" s="151"/>
      <c r="Q37" s="151"/>
      <c r="R37" s="151"/>
      <c r="S37" s="151"/>
      <c r="T37" s="151"/>
      <c r="U37" s="151"/>
      <c r="V37" s="151"/>
      <c r="W37" s="151"/>
      <c r="X37" s="151"/>
      <c r="Y37" s="78"/>
      <c r="Z37" s="51"/>
    </row>
    <row r="38" spans="1:26" x14ac:dyDescent="0.3">
      <c r="A38" s="51"/>
      <c r="B38" s="78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78"/>
      <c r="Z38" s="51"/>
    </row>
    <row r="39" spans="1:26" x14ac:dyDescent="0.3">
      <c r="A39" s="51"/>
      <c r="B39" s="78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78"/>
      <c r="Z39" s="51"/>
    </row>
    <row r="40" spans="1:26" x14ac:dyDescent="0.3">
      <c r="A40" s="51"/>
      <c r="B40" s="78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78"/>
      <c r="Z40" s="51"/>
    </row>
    <row r="41" spans="1:26" x14ac:dyDescent="0.3">
      <c r="A41" s="51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51"/>
    </row>
    <row r="42" spans="1:26" x14ac:dyDescent="0.3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</row>
    <row r="43" spans="1:26" x14ac:dyDescent="0.3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</row>
    <row r="44" spans="1:26" x14ac:dyDescent="0.3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</row>
  </sheetData>
  <mergeCells count="8">
    <mergeCell ref="D4:W6"/>
    <mergeCell ref="C4:C6"/>
    <mergeCell ref="X4:X6"/>
    <mergeCell ref="C27:M40"/>
    <mergeCell ref="N27:X40"/>
    <mergeCell ref="C24:C26"/>
    <mergeCell ref="X24:X26"/>
    <mergeCell ref="D24:W2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Auction</vt:lpstr>
      <vt:lpstr>Base Price</vt:lpstr>
      <vt:lpstr>Rounds</vt:lpstr>
      <vt:lpstr>All</vt:lpstr>
      <vt:lpstr>Sold</vt:lpstr>
      <vt:lpstr>Unsold</vt:lpstr>
      <vt:lpstr>Teams</vt:lpstr>
      <vt:lpstr>Welcome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ARDHENDU SHEKHAR</dc:creator>
  <cp:lastModifiedBy>ARDHENDU SHEKHAR</cp:lastModifiedBy>
  <dcterms:created xsi:type="dcterms:W3CDTF">2015-06-05T18:17:20Z</dcterms:created>
  <dcterms:modified xsi:type="dcterms:W3CDTF">2024-10-05T18:23:27Z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2022-12-30T08:06:07Z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cdcdd20e-c42c-4462-8490-2199db9558dd</vt:lpwstr>
  </property>
  <property fmtid="{D5CDD505-2E9C-101B-9397-08002B2CF9AE}" pid="7" name="MSIP_Label_defa4170-0d19-0005-0004-bc88714345d2_ActionId">
    <vt:lpwstr>451e8384-615f-4610-ad43-7f5caf915e70</vt:lpwstr>
  </property>
  <property fmtid="{D5CDD505-2E9C-101B-9397-08002B2CF9AE}" pid="8" name="MSIP_Label_defa4170-0d19-0005-0004-bc88714345d2_ContentBits">
    <vt:lpwstr>0</vt:lpwstr>
  </property>
</Properties>
</file>